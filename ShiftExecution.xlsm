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ant.amazon.com\fc\Dept\AMZL\NA\East\DDC4\Staffing Board\Shift_Execution\"/>
    </mc:Choice>
  </mc:AlternateContent>
  <bookViews>
    <workbookView xWindow="-110" yWindow="-110" windowWidth="15470" windowHeight="7010" tabRatio="866" firstSheet="5" activeTab="5"/>
  </bookViews>
  <sheets>
    <sheet name="Welcome" sheetId="76" state="hidden" r:id="rId1"/>
    <sheet name="PPA.13" sheetId="85" state="hidden" r:id="rId2"/>
    <sheet name="PPA.16" sheetId="88" state="hidden" r:id="rId3"/>
    <sheet name="PPA.15" sheetId="87" state="hidden" r:id="rId4"/>
    <sheet name="PPA.14" sheetId="86" state="hidden" r:id="rId5"/>
    <sheet name="24Hour" sheetId="84" r:id="rId6"/>
    <sheet name="PickStage.PPA" sheetId="93" state="hidden" r:id="rId7"/>
    <sheet name="MCO.PPA" sheetId="92" r:id="rId8"/>
    <sheet name="Cycle0.PPA" sheetId="91" state="hidden" r:id="rId9"/>
    <sheet name="Cycle1.PPA" sheetId="90" state="hidden" r:id="rId10"/>
    <sheet name="PFSD.PPA" sheetId="89" state="hidden" r:id="rId11"/>
    <sheet name="Sort 0 Execution" sheetId="78" state="hidden" r:id="rId12"/>
    <sheet name="Sort 1 Execution" sheetId="81" state="hidden" r:id="rId13"/>
    <sheet name="Pick and Stage Execution" sheetId="82" state="hidden" r:id="rId14"/>
    <sheet name="MCO Hourly" sheetId="49" state="hidden" r:id="rId15"/>
    <sheet name="PPA.17" sheetId="51" state="hidden" r:id="rId16"/>
    <sheet name="PPA.18" sheetId="52" state="hidden" r:id="rId17"/>
    <sheet name="PPA.19" sheetId="53" state="hidden" r:id="rId18"/>
    <sheet name="PPA.20" sheetId="54" state="hidden" r:id="rId19"/>
    <sheet name="PPA.21" sheetId="55" state="hidden" r:id="rId20"/>
    <sheet name="PPA.22" sheetId="56" state="hidden" r:id="rId21"/>
    <sheet name="PPA.23" sheetId="57" state="hidden" r:id="rId22"/>
    <sheet name="PPA.0" sheetId="58" state="hidden" r:id="rId23"/>
    <sheet name="PPA.1" sheetId="59" state="hidden" r:id="rId24"/>
    <sheet name="PPA.2" sheetId="60" state="hidden" r:id="rId25"/>
    <sheet name="PPA.3" sheetId="61" state="hidden" r:id="rId26"/>
    <sheet name="PPA.4" sheetId="62" state="hidden" r:id="rId27"/>
    <sheet name="PPA.5" sheetId="63" state="hidden" r:id="rId28"/>
    <sheet name="PPA.6" sheetId="64" state="hidden" r:id="rId29"/>
    <sheet name="PPA.7" sheetId="65" state="hidden" r:id="rId30"/>
    <sheet name="PPA.8" sheetId="66" state="hidden" r:id="rId31"/>
    <sheet name="PPA.9" sheetId="67" state="hidden" r:id="rId32"/>
    <sheet name="PPA.10" sheetId="68" state="hidden" r:id="rId33"/>
    <sheet name="PPA.11" sheetId="69" state="hidden" r:id="rId34"/>
    <sheet name="PPA.12" sheetId="70" state="hidden" r:id="rId35"/>
  </sheets>
  <externalReferences>
    <externalReference r:id="rId36"/>
  </externalReferences>
  <definedNames>
    <definedName name="_xlnm._FilterDatabase" localSheetId="7" hidden="1">MCO.PPA!$A$1:$O$214</definedName>
    <definedName name="_xlnm._FilterDatabase" localSheetId="6" hidden="1">PickStage.PPA!$B$1:$P$213</definedName>
    <definedName name="_xlnm._FilterDatabase" localSheetId="33" hidden="1">PPA.11!$A$1:$O$213</definedName>
    <definedName name="_xlnm._FilterDatabase" localSheetId="19" hidden="1">PPA.21!$A$1:$O$212</definedName>
    <definedName name="_xlnm._FilterDatabase" localSheetId="28" hidden="1">PPA.6!$A$1:$O$213</definedName>
    <definedName name="_xlnm._FilterDatabase" localSheetId="29" hidden="1">PPA.7!$A$1:$O$213</definedName>
    <definedName name="cycle0End">'24Hour'!$N$52</definedName>
    <definedName name="Cycle0Range">'24Hour'!$M$12</definedName>
    <definedName name="cycle0Start">'24Hour'!$M$52</definedName>
    <definedName name="cycle1End">'24Hour'!$Q$52</definedName>
    <definedName name="Cycle1Range">'24Hour'!$P$12</definedName>
    <definedName name="cycle1Start">'24Hour'!$P$52</definedName>
    <definedName name="DateH" localSheetId="14">'MCO Hourly'!$C$3</definedName>
    <definedName name="DateH" localSheetId="13">'Pick and Stage Execution'!$C$3</definedName>
    <definedName name="DateH" localSheetId="11">'Sort 0 Execution'!$C$3</definedName>
    <definedName name="DateH" localSheetId="12">'Sort 1 Execution'!$C$3</definedName>
    <definedName name="EndDate" localSheetId="14">'MCO Hourly'!$C$4</definedName>
    <definedName name="EndDate" localSheetId="13">'Pick and Stage Execution'!$C$4</definedName>
    <definedName name="EndDate" localSheetId="11">'Sort 0 Execution'!$C$4</definedName>
    <definedName name="EndDate" localSheetId="12">'Sort 1 Execution'!$C$4</definedName>
    <definedName name="EndDate">'24Hour'!$I$3</definedName>
    <definedName name="EndTime" localSheetId="14">'MCO Hourly'!$E$4</definedName>
    <definedName name="EndTime" localSheetId="13">'Pick and Stage Execution'!#REF!</definedName>
    <definedName name="EndTime" localSheetId="11">'Sort 0 Execution'!$E$4</definedName>
    <definedName name="EndTime" localSheetId="12">'Sort 1 Execution'!#REF!</definedName>
    <definedName name="EndTime">'24Hour'!$I$5</definedName>
    <definedName name="ExternalData_1" localSheetId="8">'Cycle0.PPA'!$A$1:$A$213</definedName>
    <definedName name="ExternalData_1" localSheetId="9">'Cycle1.PPA'!$A$1:$A$213</definedName>
    <definedName name="ExternalData_1" localSheetId="7">MCO.PPA!$A$1:$A$213</definedName>
    <definedName name="ExternalData_1" localSheetId="10">PFSD.PPA!$A$1:$A$213</definedName>
    <definedName name="ExternalData_1" localSheetId="6">PickStage.PPA!$B$1:$B$213</definedName>
    <definedName name="ExternalData_1" localSheetId="22">PPA.0!$A$1:$A$80</definedName>
    <definedName name="ExternalData_1" localSheetId="23">PPA.1!$A$1:$A$79</definedName>
    <definedName name="ExternalData_1" localSheetId="32">PPA.10!$A$1:$A$80</definedName>
    <definedName name="ExternalData_1" localSheetId="33">PPA.11!$A$1:$A$80</definedName>
    <definedName name="ExternalData_1" localSheetId="34">PPA.12!$A$1:$A$213</definedName>
    <definedName name="ExternalData_1" localSheetId="1">PPA.13!$A$1:$A$212</definedName>
    <definedName name="ExternalData_1" localSheetId="4">PPA.14!$A$1:$A$213</definedName>
    <definedName name="ExternalData_1" localSheetId="3">PPA.15!$A$1:$A$213</definedName>
    <definedName name="ExternalData_1" localSheetId="2">PPA.16!$A$1:$A$213</definedName>
    <definedName name="ExternalData_1" localSheetId="15">PPA.17!$A$1:$A$82</definedName>
    <definedName name="ExternalData_1" localSheetId="16">PPA.18!$A$1:$A$79</definedName>
    <definedName name="ExternalData_1" localSheetId="17">PPA.19!$A$1:$A$79</definedName>
    <definedName name="ExternalData_1" localSheetId="24">PPA.2!$A$1:$A$79</definedName>
    <definedName name="ExternalData_1" localSheetId="18">PPA.20!$A$1:$A$80</definedName>
    <definedName name="ExternalData_1" localSheetId="19">PPA.21!$A$1:$A$80</definedName>
    <definedName name="ExternalData_1" localSheetId="20">PPA.22!$A$1:$A$79</definedName>
    <definedName name="ExternalData_1" localSheetId="21">PPA.23!$A$1:$A$80</definedName>
    <definedName name="ExternalData_1" localSheetId="25">PPA.3!$A$1:$A$79</definedName>
    <definedName name="ExternalData_1" localSheetId="26">PPA.4!$A$1:$A$80</definedName>
    <definedName name="ExternalData_1" localSheetId="27">PPA.5!$A$1:$A$82</definedName>
    <definedName name="ExternalData_1" localSheetId="28">PPA.6!$A$1:$A$80</definedName>
    <definedName name="ExternalData_1" localSheetId="29">PPA.7!$A$1:$C$6</definedName>
    <definedName name="ExternalData_1" localSheetId="30">PPA.8!$A$1:$A$80</definedName>
    <definedName name="ExternalData_1" localSheetId="31">PPA.9!$A$1:$A$80</definedName>
    <definedName name="ExternalData_10" localSheetId="7">MCO.PPA!$A$1:$A$213</definedName>
    <definedName name="ExternalData_10" localSheetId="6">PickStage.PPA!$A$1:$A$213</definedName>
    <definedName name="ExternalData_10" localSheetId="22">PPA.0!$A$1:$A$213</definedName>
    <definedName name="ExternalData_10" localSheetId="23">PPA.1!$A$1:$A$213</definedName>
    <definedName name="ExternalData_10" localSheetId="32">PPA.10!$A$1:$A$213</definedName>
    <definedName name="ExternalData_10" localSheetId="33">PPA.11!$A$1:$A$213</definedName>
    <definedName name="ExternalData_10" localSheetId="34">PPA.12!$A$1:$A$212</definedName>
    <definedName name="ExternalData_10" localSheetId="2">PPA.16!$A$1:$A$212</definedName>
    <definedName name="ExternalData_10" localSheetId="15">PPA.17!$A$1:$A$81</definedName>
    <definedName name="ExternalData_10" localSheetId="16">PPA.18!$A$1:$A$80</definedName>
    <definedName name="ExternalData_10" localSheetId="17">PPA.19!$A$1:$A$2</definedName>
    <definedName name="ExternalData_10" localSheetId="24">PPA.2!$A$1:$A$213</definedName>
    <definedName name="ExternalData_10" localSheetId="18">PPA.20!$A$1:$A$212</definedName>
    <definedName name="ExternalData_10" localSheetId="19">PPA.21!$A$1:$A$2</definedName>
    <definedName name="ExternalData_10" localSheetId="20">PPA.22!$A$1:$A$80</definedName>
    <definedName name="ExternalData_10" localSheetId="21">PPA.23!$A$1:$A$212</definedName>
    <definedName name="ExternalData_10" localSheetId="25">PPA.3!$A$1:$A$83</definedName>
    <definedName name="ExternalData_10" localSheetId="26">PPA.4!$A$1:$A$83</definedName>
    <definedName name="ExternalData_10" localSheetId="27">PPA.5!$A$1:$A$213</definedName>
    <definedName name="ExternalData_10" localSheetId="28">PPA.6!$A$1:$A$2</definedName>
    <definedName name="ExternalData_10" localSheetId="29">PPA.7!$A$1:$A$2</definedName>
    <definedName name="ExternalData_10" localSheetId="30">PPA.8!$A$1:$A$82</definedName>
    <definedName name="ExternalData_10" localSheetId="31">PPA.9!$A$1:$A$212</definedName>
    <definedName name="ExternalData_11" localSheetId="7">MCO.PPA!$A$1:$A$213</definedName>
    <definedName name="ExternalData_11" localSheetId="6">PickStage.PPA!$A$1:$A$213</definedName>
    <definedName name="ExternalData_11" localSheetId="22">PPA.0!$A$1:$A$213</definedName>
    <definedName name="ExternalData_11" localSheetId="23">PPA.1!$A$1:$A$213</definedName>
    <definedName name="ExternalData_11" localSheetId="32">PPA.10!$A$1:$A$213</definedName>
    <definedName name="ExternalData_11" localSheetId="33">PPA.11!$A$1:$A$213</definedName>
    <definedName name="ExternalData_11" localSheetId="34">PPA.12!$A$1:$A$212</definedName>
    <definedName name="ExternalData_11" localSheetId="2">PPA.16!$A$1:$A$212</definedName>
    <definedName name="ExternalData_11" localSheetId="15">PPA.17!$A$1:$A$81</definedName>
    <definedName name="ExternalData_11" localSheetId="16">PPA.18!$A$1:$A$80</definedName>
    <definedName name="ExternalData_11" localSheetId="17">PPA.19!$A$1:$A$2</definedName>
    <definedName name="ExternalData_11" localSheetId="24">PPA.2!$A$1:$A$213</definedName>
    <definedName name="ExternalData_11" localSheetId="18">PPA.20!$A$1:$A$212</definedName>
    <definedName name="ExternalData_11" localSheetId="19">PPA.21!$A$1:$A$212</definedName>
    <definedName name="ExternalData_11" localSheetId="20">PPA.22!$A$1:$A$2</definedName>
    <definedName name="ExternalData_11" localSheetId="21">PPA.23!$A$1:$A$212</definedName>
    <definedName name="ExternalData_11" localSheetId="25">PPA.3!$A$1:$A$213</definedName>
    <definedName name="ExternalData_11" localSheetId="26">PPA.4!$A$1:$A$83</definedName>
    <definedName name="ExternalData_11" localSheetId="27">PPA.5!$A$1:$A$213</definedName>
    <definedName name="ExternalData_11" localSheetId="28">PPA.6!$A$1:$A$81</definedName>
    <definedName name="ExternalData_11" localSheetId="29">PPA.7!$A$1:$A$2</definedName>
    <definedName name="ExternalData_11" localSheetId="30">PPA.8!$A$1:$A$81</definedName>
    <definedName name="ExternalData_11" localSheetId="31">PPA.9!$A$1:$A$212</definedName>
    <definedName name="ExternalData_12" localSheetId="6">PickStage.PPA!$A$1:$A$213</definedName>
    <definedName name="ExternalData_12" localSheetId="22">PPA.0!$A$1:$A$213</definedName>
    <definedName name="ExternalData_12" localSheetId="23">PPA.1!$A$1:$A$213</definedName>
    <definedName name="ExternalData_12" localSheetId="32">PPA.10!$A$1:$A$213</definedName>
    <definedName name="ExternalData_12" localSheetId="33">PPA.11!$A$1:$A$213</definedName>
    <definedName name="ExternalData_12" localSheetId="34">PPA.12!$A$1:$A$212</definedName>
    <definedName name="ExternalData_12" localSheetId="2">PPA.16!$A$1:$A$212</definedName>
    <definedName name="ExternalData_12" localSheetId="15">PPA.17!$A$1:$A$2</definedName>
    <definedName name="ExternalData_12" localSheetId="16">PPA.18!$A$1:$A$80</definedName>
    <definedName name="ExternalData_12" localSheetId="17">PPA.19!$A$1:$A$2</definedName>
    <definedName name="ExternalData_12" localSheetId="24">PPA.2!$A$1:$A$212</definedName>
    <definedName name="ExternalData_12" localSheetId="18">PPA.20!$A$1:$A$2</definedName>
    <definedName name="ExternalData_12" localSheetId="19">PPA.21!$A$1:$A$212</definedName>
    <definedName name="ExternalData_12" localSheetId="20">PPA.22!$A$1:$A$2</definedName>
    <definedName name="ExternalData_12" localSheetId="21">PPA.23!$A$1:$C$6</definedName>
    <definedName name="ExternalData_12" localSheetId="25">PPA.3!$A$1:$A$213</definedName>
    <definedName name="ExternalData_12" localSheetId="26">PPA.4!$A$1:$A$83</definedName>
    <definedName name="ExternalData_12" localSheetId="27">PPA.5!$A$1:$A$212</definedName>
    <definedName name="ExternalData_12" localSheetId="28">PPA.6!$A$1:$A$81</definedName>
    <definedName name="ExternalData_12" localSheetId="29">PPA.7!$A$1:$A$83</definedName>
    <definedName name="ExternalData_12" localSheetId="30">PPA.8!$A$1:$A$83</definedName>
    <definedName name="ExternalData_12" localSheetId="31">PPA.9!$A$1:$A$212</definedName>
    <definedName name="ExternalData_13" localSheetId="6">PickStage.PPA!$A$1:$A$213</definedName>
    <definedName name="ExternalData_13" localSheetId="22">PPA.0!$A$1:$A$213</definedName>
    <definedName name="ExternalData_13" localSheetId="23">PPA.1!$A$1:$A$213</definedName>
    <definedName name="ExternalData_13" localSheetId="32">PPA.10!$A$1:$A$213</definedName>
    <definedName name="ExternalData_13" localSheetId="33">PPA.11!$A$1:$A$213</definedName>
    <definedName name="ExternalData_13" localSheetId="34">PPA.12!$A$1:$A$212</definedName>
    <definedName name="ExternalData_13" localSheetId="2">PPA.16!$A$1:$A$212</definedName>
    <definedName name="ExternalData_13" localSheetId="15">PPA.17!$A$1:$A$2</definedName>
    <definedName name="ExternalData_13" localSheetId="16">PPA.18!$A$1:$A$2</definedName>
    <definedName name="ExternalData_13" localSheetId="17">PPA.19!$A$1:$A$212</definedName>
    <definedName name="ExternalData_13" localSheetId="24">PPA.2!$A$1:$A$212</definedName>
    <definedName name="ExternalData_13" localSheetId="18">PPA.20!$A$1:$A$2</definedName>
    <definedName name="ExternalData_13" localSheetId="19">PPA.21!$A$1:$A$2</definedName>
    <definedName name="ExternalData_13" localSheetId="20">PPA.22!$A$1:$A$2</definedName>
    <definedName name="ExternalData_13" localSheetId="21">PPA.23!$A$1:$C$6</definedName>
    <definedName name="ExternalData_13" localSheetId="25">PPA.3!$A$1:$A$213</definedName>
    <definedName name="ExternalData_13" localSheetId="26">PPA.4!$A$1:$A$213</definedName>
    <definedName name="ExternalData_13" localSheetId="27">PPA.5!$A$1:$A$212</definedName>
    <definedName name="ExternalData_13" localSheetId="28">PPA.6!$A$1:$A$83</definedName>
    <definedName name="ExternalData_13" localSheetId="29">PPA.7!$A$1:$A$83</definedName>
    <definedName name="ExternalData_13" localSheetId="30">PPA.8!$A$1:$A$83</definedName>
    <definedName name="ExternalData_13" localSheetId="31">PPA.9!$A$1:$A$212</definedName>
    <definedName name="ExternalData_14" localSheetId="22">PPA.0!$A$1:$A$212</definedName>
    <definedName name="ExternalData_14" localSheetId="23">PPA.1!$A$1:$A$213</definedName>
    <definedName name="ExternalData_14" localSheetId="32">PPA.10!$A$1:$A$213</definedName>
    <definedName name="ExternalData_14" localSheetId="33">PPA.11!$A$1:$A$213</definedName>
    <definedName name="ExternalData_14" localSheetId="34">PPA.12!$A$1:$A$212</definedName>
    <definedName name="ExternalData_14" localSheetId="2">PPA.16!$A$1:$A$212</definedName>
    <definedName name="ExternalData_14" localSheetId="15">PPA.17!$A$1:$A$2</definedName>
    <definedName name="ExternalData_14" localSheetId="16">PPA.18!$A$1:$A$2</definedName>
    <definedName name="ExternalData_14" localSheetId="17">PPA.19!$A$1:$A$212</definedName>
    <definedName name="ExternalData_14" localSheetId="24">PPA.2!$A$1:$A$212</definedName>
    <definedName name="ExternalData_14" localSheetId="18">PPA.20!$A$1:$A$2</definedName>
    <definedName name="ExternalData_14" localSheetId="19">PPA.21!$A$1:$A$2</definedName>
    <definedName name="ExternalData_14" localSheetId="20">PPA.22!$A$1:$A$212</definedName>
    <definedName name="ExternalData_14" localSheetId="21">PPA.23!$A$1:$C$6</definedName>
    <definedName name="ExternalData_14" localSheetId="25">PPA.3!$A$1:$A$213</definedName>
    <definedName name="ExternalData_14" localSheetId="26">PPA.4!$A$1:$A$213</definedName>
    <definedName name="ExternalData_14" localSheetId="27">PPA.5!$A$1:$A$212</definedName>
    <definedName name="ExternalData_14" localSheetId="28">PPA.6!$A$1:$A$83</definedName>
    <definedName name="ExternalData_14" localSheetId="29">PPA.7!$A$1:$A$83</definedName>
    <definedName name="ExternalData_14" localSheetId="30">PPA.8!$A$1:$A$2</definedName>
    <definedName name="ExternalData_14" localSheetId="31">PPA.9!$A$1:$A$212</definedName>
    <definedName name="ExternalData_15" localSheetId="22">PPA.0!$A$1:$A$212</definedName>
    <definedName name="ExternalData_15" localSheetId="23">PPA.1!$A$1:$A$212</definedName>
    <definedName name="ExternalData_15" localSheetId="32">PPA.10!$A$1:$A$213</definedName>
    <definedName name="ExternalData_15" localSheetId="33">PPA.11!$A$1:$A$213</definedName>
    <definedName name="ExternalData_15" localSheetId="34">PPA.12!$A$1:$A$212</definedName>
    <definedName name="ExternalData_15" localSheetId="2">PPA.16!$A$1:$A$212</definedName>
    <definedName name="ExternalData_15" localSheetId="15">PPA.17!$A$1:$A$2</definedName>
    <definedName name="ExternalData_15" localSheetId="16">PPA.18!$A$1:$A$2</definedName>
    <definedName name="ExternalData_15" localSheetId="17">PPA.19!$A$1:$A$2</definedName>
    <definedName name="ExternalData_15" localSheetId="24">PPA.2!$A$1:$A$212</definedName>
    <definedName name="ExternalData_15" localSheetId="18">PPA.20!$A$1:$A$213</definedName>
    <definedName name="ExternalData_15" localSheetId="19">PPA.21!$A$1:$A$2</definedName>
    <definedName name="ExternalData_15" localSheetId="20">PPA.22!$A$1:$A$212</definedName>
    <definedName name="ExternalData_15" localSheetId="21">PPA.23!$A$1:$A$213</definedName>
    <definedName name="ExternalData_15" localSheetId="25">PPA.3!$A$1:$A$213</definedName>
    <definedName name="ExternalData_15" localSheetId="26">PPA.4!$A$1:$A$213</definedName>
    <definedName name="ExternalData_15" localSheetId="27">PPA.5!$A$1:$A$212</definedName>
    <definedName name="ExternalData_15" localSheetId="28">PPA.6!$A$1:$A$83</definedName>
    <definedName name="ExternalData_15" localSheetId="29">PPA.7!$A$1:$A$212</definedName>
    <definedName name="ExternalData_15" localSheetId="30">PPA.8!$A$1:$A$2</definedName>
    <definedName name="ExternalData_15" localSheetId="31">PPA.9!$A$1:$A$212</definedName>
    <definedName name="ExternalData_16" localSheetId="22">PPA.0!$A$1:$A$212</definedName>
    <definedName name="ExternalData_16" localSheetId="23">PPA.1!$A$1:$A$212</definedName>
    <definedName name="ExternalData_16" localSheetId="32">PPA.10!$A$1:$A$213</definedName>
    <definedName name="ExternalData_16" localSheetId="33">PPA.11!$A$1:$A$212</definedName>
    <definedName name="ExternalData_16" localSheetId="34">PPA.12!$A$1:$A$213</definedName>
    <definedName name="ExternalData_16" localSheetId="2">PPA.16!$A$1:$A$212</definedName>
    <definedName name="ExternalData_16" localSheetId="15">PPA.17!$A$1:$A$2</definedName>
    <definedName name="ExternalData_16" localSheetId="16">PPA.18!$A$1:$A$2</definedName>
    <definedName name="ExternalData_16" localSheetId="17">PPA.19!$A$1:$A$2</definedName>
    <definedName name="ExternalData_16" localSheetId="24">PPA.2!$A$1:$A$212</definedName>
    <definedName name="ExternalData_16" localSheetId="18">PPA.20!$A$1:$A$212</definedName>
    <definedName name="ExternalData_16" localSheetId="19">PPA.21!$A$1:$A$213</definedName>
    <definedName name="ExternalData_16" localSheetId="20">PPA.22!$A$1:$A$2</definedName>
    <definedName name="ExternalData_16" localSheetId="21">PPA.23!$A$1:$A$212</definedName>
    <definedName name="ExternalData_16" localSheetId="25">PPA.3!$A$1:$A$213</definedName>
    <definedName name="ExternalData_16" localSheetId="26">PPA.4!$A$1:$A$2</definedName>
    <definedName name="ExternalData_16" localSheetId="27">PPA.5!$A$1:$A$212</definedName>
    <definedName name="ExternalData_16" localSheetId="28">PPA.6!$A$1:$A$213</definedName>
    <definedName name="ExternalData_16" localSheetId="29">PPA.7!$A$1:$A$213</definedName>
    <definedName name="ExternalData_16" localSheetId="30">PPA.8!$A$1:$A$2</definedName>
    <definedName name="ExternalData_16" localSheetId="31">PPA.9!$A$1:$A$213</definedName>
    <definedName name="ExternalData_17" localSheetId="22">PPA.0!$A$1:$A$212</definedName>
    <definedName name="ExternalData_17" localSheetId="23">PPA.1!$A$1:$A$212</definedName>
    <definedName name="ExternalData_17" localSheetId="32">PPA.10!$A$1:$A$213</definedName>
    <definedName name="ExternalData_17" localSheetId="33">PPA.11!$A$1:$A$212</definedName>
    <definedName name="ExternalData_17" localSheetId="2">PPA.16!$A$1:$A$212</definedName>
    <definedName name="ExternalData_17" localSheetId="15">PPA.17!$A$1:$A$212</definedName>
    <definedName name="ExternalData_17" localSheetId="16">PPA.18!$A$1:$A$212</definedName>
    <definedName name="ExternalData_17" localSheetId="17">PPA.19!$A$1:$A$2</definedName>
    <definedName name="ExternalData_17" localSheetId="24">PPA.2!$A$1:$A$212</definedName>
    <definedName name="ExternalData_17" localSheetId="18">PPA.20!$A$1:$A$213</definedName>
    <definedName name="ExternalData_17" localSheetId="19">PPA.21!$A$1:$A$212</definedName>
    <definedName name="ExternalData_17" localSheetId="20">PPA.22!$A$1:$A$2</definedName>
    <definedName name="ExternalData_17" localSheetId="21">PPA.23!$A$1:$A$212</definedName>
    <definedName name="ExternalData_17" localSheetId="25">PPA.3!$A$1:$A$213</definedName>
    <definedName name="ExternalData_17" localSheetId="26">PPA.4!$A$1:$A$2</definedName>
    <definedName name="ExternalData_17" localSheetId="27">PPA.5!$A$1:$A$212</definedName>
    <definedName name="ExternalData_17" localSheetId="28">PPA.6!$A$1:$A$212</definedName>
    <definedName name="ExternalData_17" localSheetId="29">PPA.7!$A$1:$A$212</definedName>
    <definedName name="ExternalData_17" localSheetId="30">PPA.8!$A$1:$A$2</definedName>
    <definedName name="ExternalData_17" localSheetId="31">PPA.9!$A$1:$A$213</definedName>
    <definedName name="ExternalData_18" localSheetId="22">PPA.0!$A$1:$A$212</definedName>
    <definedName name="ExternalData_18" localSheetId="23">PPA.1!$A$1:$A$212</definedName>
    <definedName name="ExternalData_18" localSheetId="32">PPA.10!$A$1:$A$212</definedName>
    <definedName name="ExternalData_18" localSheetId="33">PPA.11!$A$1:$A$212</definedName>
    <definedName name="ExternalData_18" localSheetId="2">PPA.16!$A$1:$A$212</definedName>
    <definedName name="ExternalData_18" localSheetId="15">PPA.17!$A$1:$A$212</definedName>
    <definedName name="ExternalData_18" localSheetId="16">PPA.18!$A$1:$A$212</definedName>
    <definedName name="ExternalData_18" localSheetId="17">PPA.19!$A$1:$A$212</definedName>
    <definedName name="ExternalData_18" localSheetId="24">PPA.2!$A$1:$A$212</definedName>
    <definedName name="ExternalData_18" localSheetId="18">PPA.20!$A$1:$A$213</definedName>
    <definedName name="ExternalData_18" localSheetId="19">PPA.21!$A$1:$A$213</definedName>
    <definedName name="ExternalData_18" localSheetId="20">PPA.22!$A$1:$A$2</definedName>
    <definedName name="ExternalData_18" localSheetId="21">PPA.23!$A$1:$A$212</definedName>
    <definedName name="ExternalData_18" localSheetId="25">PPA.3!$A$1:$A$213</definedName>
    <definedName name="ExternalData_18" localSheetId="26">PPA.4!$A$1:$A$213</definedName>
    <definedName name="ExternalData_18" localSheetId="27">PPA.5!$A$1:$A$212</definedName>
    <definedName name="ExternalData_18" localSheetId="28">PPA.6!$A$1:$A$213</definedName>
    <definedName name="ExternalData_18" localSheetId="29">PPA.7!$A$1:$A$212</definedName>
    <definedName name="ExternalData_18" localSheetId="30">PPA.8!$A$1:$A$2</definedName>
    <definedName name="ExternalData_18" localSheetId="31">PPA.9!$A$1:$A$213</definedName>
    <definedName name="ExternalData_19" localSheetId="22">PPA.0!$A$1:$A$213</definedName>
    <definedName name="ExternalData_19" localSheetId="23">PPA.1!$A$1:$A$212</definedName>
    <definedName name="ExternalData_19" localSheetId="32">PPA.10!$A$1:$A$212</definedName>
    <definedName name="ExternalData_19" localSheetId="33">PPA.11!$A$1:$A$212</definedName>
    <definedName name="ExternalData_19" localSheetId="2">PPA.16!$A$1:$A$212</definedName>
    <definedName name="ExternalData_19" localSheetId="15">PPA.17!$A$1:$A$2</definedName>
    <definedName name="ExternalData_19" localSheetId="16">PPA.18!$A$1:$A$2</definedName>
    <definedName name="ExternalData_19" localSheetId="17">PPA.19!$A$1:$A$212</definedName>
    <definedName name="ExternalData_19" localSheetId="24">PPA.2!$A$1:$A$213</definedName>
    <definedName name="ExternalData_19" localSheetId="18">PPA.20!$A$1:$A$213</definedName>
    <definedName name="ExternalData_19" localSheetId="19">PPA.21!$A$1:$A$213</definedName>
    <definedName name="ExternalData_19" localSheetId="20">PPA.22!$A$1:$A$212</definedName>
    <definedName name="ExternalData_19" localSheetId="21">PPA.23!$A$1:$A$212</definedName>
    <definedName name="ExternalData_19" localSheetId="25">PPA.3!$A$1:$A$213</definedName>
    <definedName name="ExternalData_19" localSheetId="26">PPA.4!$A$1:$A$213</definedName>
    <definedName name="ExternalData_19" localSheetId="27">PPA.5!$A$1:$A$212</definedName>
    <definedName name="ExternalData_19" localSheetId="28">PPA.6!$A$1:$A$212</definedName>
    <definedName name="ExternalData_19" localSheetId="29">PPA.7!$A$1:$A$212</definedName>
    <definedName name="ExternalData_19" localSheetId="30">PPA.8!$A$1:$A$2</definedName>
    <definedName name="ExternalData_19" localSheetId="31">PPA.9!$A$1:$A$213</definedName>
    <definedName name="ExternalData_2" localSheetId="8">'Cycle0.PPA'!$A$1:$A$213</definedName>
    <definedName name="ExternalData_2" localSheetId="7">MCO.PPA!$A$1:$A$213</definedName>
    <definedName name="ExternalData_2" localSheetId="10">PFSD.PPA!$A$1:$A$213</definedName>
    <definedName name="ExternalData_2" localSheetId="6">PickStage.PPA!$B$1:$B$213</definedName>
    <definedName name="ExternalData_2" localSheetId="22">PPA.0!$A$1:$A$80</definedName>
    <definedName name="ExternalData_2" localSheetId="23">PPA.1!$A$1:$A$82</definedName>
    <definedName name="ExternalData_2" localSheetId="32">PPA.10!$A$1:$A$80</definedName>
    <definedName name="ExternalData_2" localSheetId="33">PPA.11!$A$1:$A$2</definedName>
    <definedName name="ExternalData_2" localSheetId="34">PPA.12!$A$1:$A$213</definedName>
    <definedName name="ExternalData_2" localSheetId="1">PPA.13!$A$1:$A$212</definedName>
    <definedName name="ExternalData_2" localSheetId="4">PPA.14!$A$1:$A$213</definedName>
    <definedName name="ExternalData_2" localSheetId="3">PPA.15!$A$1:$A$213</definedName>
    <definedName name="ExternalData_2" localSheetId="2">PPA.16!$A$1:$A$213</definedName>
    <definedName name="ExternalData_2" localSheetId="15">PPA.17!$A$1:$A$82</definedName>
    <definedName name="ExternalData_2" localSheetId="16">PPA.18!$A$1:$A$82</definedName>
    <definedName name="ExternalData_2" localSheetId="17">PPA.19!$A$1:$A$79</definedName>
    <definedName name="ExternalData_2" localSheetId="24">PPA.2!$A$1:$A$82</definedName>
    <definedName name="ExternalData_2" localSheetId="18">PPA.20!$A$1</definedName>
    <definedName name="ExternalData_2" localSheetId="19">PPA.21!$A$1:$A$80</definedName>
    <definedName name="ExternalData_2" localSheetId="20">PPA.22!$A$1:$A$80</definedName>
    <definedName name="ExternalData_2" localSheetId="21">PPA.23!$A$1:$A$79</definedName>
    <definedName name="ExternalData_2" localSheetId="25">PPA.3!$A$1:$A$80</definedName>
    <definedName name="ExternalData_2" localSheetId="26">PPA.4!$A$1:$A$82</definedName>
    <definedName name="ExternalData_2" localSheetId="27">PPA.5!$A$1:$A$82</definedName>
    <definedName name="ExternalData_2" localSheetId="28">PPA.6!$A$1:$A$80</definedName>
    <definedName name="ExternalData_2" localSheetId="29">PPA.7!$A$1:$A$77</definedName>
    <definedName name="ExternalData_2" localSheetId="30">PPA.8!$A$1:$A$79</definedName>
    <definedName name="ExternalData_2" localSheetId="31">PPA.9!$A$1:$A$80</definedName>
    <definedName name="ExternalData_20" localSheetId="22">PPA.0!$A$1:$A$212</definedName>
    <definedName name="ExternalData_20" localSheetId="23">PPA.1!$A$1:$A$213</definedName>
    <definedName name="ExternalData_20" localSheetId="32">PPA.10!$A$1:$A$212</definedName>
    <definedName name="ExternalData_20" localSheetId="33">PPA.11!$A$1:$A$212</definedName>
    <definedName name="ExternalData_20" localSheetId="2">PPA.16!$A$1:$A$212</definedName>
    <definedName name="ExternalData_20" localSheetId="15">PPA.17!$A$1:$A$2</definedName>
    <definedName name="ExternalData_20" localSheetId="16">PPA.18!$A$1:$A$2</definedName>
    <definedName name="ExternalData_20" localSheetId="17">PPA.19!$A$1:$A$212</definedName>
    <definedName name="ExternalData_20" localSheetId="24">PPA.2!$A$1:$A$213</definedName>
    <definedName name="ExternalData_20" localSheetId="18">PPA.20!$A$1:$A$213</definedName>
    <definedName name="ExternalData_20" localSheetId="19">PPA.21!$A$1:$A$212</definedName>
    <definedName name="ExternalData_20" localSheetId="20">PPA.22!$A$1:$A$212</definedName>
    <definedName name="ExternalData_20" localSheetId="21">PPA.23!$A$1:$A$212</definedName>
    <definedName name="ExternalData_20" localSheetId="25">PPA.3!$A$1:$A$213</definedName>
    <definedName name="ExternalData_20" localSheetId="26">PPA.4!$A$1:$A$213</definedName>
    <definedName name="ExternalData_20" localSheetId="27">PPA.5!$A$1:$A$212</definedName>
    <definedName name="ExternalData_20" localSheetId="28">PPA.6!$A$1:$A$212</definedName>
    <definedName name="ExternalData_20" localSheetId="29">PPA.7!$A$1:$A$212</definedName>
    <definedName name="ExternalData_20" localSheetId="30">PPA.8!$A$1:$A$83</definedName>
    <definedName name="ExternalData_20" localSheetId="31">PPA.9!$A$1:$A$213</definedName>
    <definedName name="ExternalData_21" localSheetId="22">PPA.0!$A$1:$A$212</definedName>
    <definedName name="ExternalData_21" localSheetId="23">PPA.1!$A$1:$A$212</definedName>
    <definedName name="ExternalData_21" localSheetId="32">PPA.10!$A$1:$A$212</definedName>
    <definedName name="ExternalData_21" localSheetId="33">PPA.11!$A$1:$A$212</definedName>
    <definedName name="ExternalData_21" localSheetId="2">PPA.16!$A$1:$A$212</definedName>
    <definedName name="ExternalData_21" localSheetId="15">PPA.17!$A$1:$A$2</definedName>
    <definedName name="ExternalData_21" localSheetId="16">PPA.18!$A$1:$A$2</definedName>
    <definedName name="ExternalData_21" localSheetId="17">PPA.19!$A$1:$A$212</definedName>
    <definedName name="ExternalData_21" localSheetId="24">PPA.2!$A$1:$A$213</definedName>
    <definedName name="ExternalData_21" localSheetId="18">PPA.20!$A$1:$A$212</definedName>
    <definedName name="ExternalData_21" localSheetId="19">PPA.21!$A$1:$A$213</definedName>
    <definedName name="ExternalData_21" localSheetId="20">PPA.22!$A$1:$A$212</definedName>
    <definedName name="ExternalData_21" localSheetId="21">PPA.23!$A$1:$A$213</definedName>
    <definedName name="ExternalData_21" localSheetId="25">PPA.3!$A$1:$A$213</definedName>
    <definedName name="ExternalData_21" localSheetId="26">PPA.4!$A$1:$A$213</definedName>
    <definedName name="ExternalData_21" localSheetId="27">PPA.5!$A$1:$A$212</definedName>
    <definedName name="ExternalData_21" localSheetId="28">PPA.6!$A$1:$A$212</definedName>
    <definedName name="ExternalData_21" localSheetId="29">PPA.7!$A$1:$A$212</definedName>
    <definedName name="ExternalData_21" localSheetId="30">PPA.8!$A$1:$A$83</definedName>
    <definedName name="ExternalData_21" localSheetId="31">PPA.9!$A$1:$A$213</definedName>
    <definedName name="ExternalData_22" localSheetId="22">PPA.0!$A$1:$A$212</definedName>
    <definedName name="ExternalData_22" localSheetId="23">PPA.1!$A$1:$A$212</definedName>
    <definedName name="ExternalData_22" localSheetId="32">PPA.10!$A$1:$A$213</definedName>
    <definedName name="ExternalData_22" localSheetId="33">PPA.11!$A$1:$A$212</definedName>
    <definedName name="ExternalData_22" localSheetId="2">PPA.16!$A$1:$A$212</definedName>
    <definedName name="ExternalData_22" localSheetId="15">PPA.17!$A$1:$A$2</definedName>
    <definedName name="ExternalData_22" localSheetId="16">PPA.18!$A$1:$A$213</definedName>
    <definedName name="ExternalData_22" localSheetId="17">PPA.19!$A$1:$A$212</definedName>
    <definedName name="ExternalData_22" localSheetId="24">PPA.2!$A$1:$A$213</definedName>
    <definedName name="ExternalData_22" localSheetId="18">PPA.20!$A$1:$A$212</definedName>
    <definedName name="ExternalData_22" localSheetId="19">PPA.21!$A$1:$A$213</definedName>
    <definedName name="ExternalData_22" localSheetId="20">PPA.22!$A$1:$A$212</definedName>
    <definedName name="ExternalData_22" localSheetId="21">PPA.23!$A$1:$A$213</definedName>
    <definedName name="ExternalData_22" localSheetId="25">PPA.3!$A$1:$A$213</definedName>
    <definedName name="ExternalData_22" localSheetId="26">PPA.4!$A$1:$A$213</definedName>
    <definedName name="ExternalData_22" localSheetId="27">PPA.5!$A$1:$A$212</definedName>
    <definedName name="ExternalData_22" localSheetId="28">PPA.6!$A$1:$A$212</definedName>
    <definedName name="ExternalData_22" localSheetId="29">PPA.7!$A$1:$A$212</definedName>
    <definedName name="ExternalData_22" localSheetId="30">PPA.8!$A$1:$A$83</definedName>
    <definedName name="ExternalData_22" localSheetId="31">PPA.9!$A$1:$A$212</definedName>
    <definedName name="ExternalData_23" localSheetId="22">PPA.0!$A$1:$A$212</definedName>
    <definedName name="ExternalData_23" localSheetId="23">PPA.1!$A$1:$A$212</definedName>
    <definedName name="ExternalData_23" localSheetId="32">PPA.10!$A$1:$A$212</definedName>
    <definedName name="ExternalData_23" localSheetId="33">PPA.11!$A$1:$A$212</definedName>
    <definedName name="ExternalData_23" localSheetId="2">PPA.16!$A$1:$A$212</definedName>
    <definedName name="ExternalData_23" localSheetId="15">PPA.17!$A$1:$A$213</definedName>
    <definedName name="ExternalData_23" localSheetId="16">PPA.18!$A$1:$A$213</definedName>
    <definedName name="ExternalData_23" localSheetId="17">PPA.19!$A$1:$A$212</definedName>
    <definedName name="ExternalData_23" localSheetId="24">PPA.2!$A$1:$A$213</definedName>
    <definedName name="ExternalData_23" localSheetId="18">PPA.20!$A$1:$A$213</definedName>
    <definedName name="ExternalData_23" localSheetId="19">PPA.21!$A$1:$A$212</definedName>
    <definedName name="ExternalData_23" localSheetId="20">PPA.22!$A$1:$A$213</definedName>
    <definedName name="ExternalData_23" localSheetId="21">PPA.23!$A$1:$A$213</definedName>
    <definedName name="ExternalData_23" localSheetId="25">PPA.3!$A$1:$A$213</definedName>
    <definedName name="ExternalData_23" localSheetId="26">PPA.4!$A$1:$A$213</definedName>
    <definedName name="ExternalData_23" localSheetId="27">PPA.5!$A$1:$A$212</definedName>
    <definedName name="ExternalData_23" localSheetId="28">PPA.6!$A$1:$A$212</definedName>
    <definedName name="ExternalData_23" localSheetId="29">PPA.7!$A$1:$A$2</definedName>
    <definedName name="ExternalData_23" localSheetId="30">PPA.8!$A$1:$A$83</definedName>
    <definedName name="ExternalData_23" localSheetId="31">PPA.9!$A$1:$A$213</definedName>
    <definedName name="ExternalData_24" localSheetId="22">PPA.0!$A$1:$A$212</definedName>
    <definedName name="ExternalData_24" localSheetId="23">PPA.1!$A$1:$A$212</definedName>
    <definedName name="ExternalData_24" localSheetId="32">PPA.10!$A$1:$A$213</definedName>
    <definedName name="ExternalData_24" localSheetId="33">PPA.11!$A$1:$A$212</definedName>
    <definedName name="ExternalData_24" localSheetId="2">PPA.16!$A$1:$A$212</definedName>
    <definedName name="ExternalData_24" localSheetId="15">PPA.17!$A$1:$A$213</definedName>
    <definedName name="ExternalData_24" localSheetId="16">PPA.18!$A$1:$A$213</definedName>
    <definedName name="ExternalData_24" localSheetId="17">PPA.19!$A$1:$A$212</definedName>
    <definedName name="ExternalData_24" localSheetId="24">PPA.2!$A$1:$A$213</definedName>
    <definedName name="ExternalData_24" localSheetId="18">PPA.20!$A$1:$A$213</definedName>
    <definedName name="ExternalData_24" localSheetId="19">PPA.21!$A$1:$A$212</definedName>
    <definedName name="ExternalData_24" localSheetId="20">PPA.22!$A$1:$A$212</definedName>
    <definedName name="ExternalData_24" localSheetId="21">PPA.23!$A$1:$A$212</definedName>
    <definedName name="ExternalData_24" localSheetId="25">PPA.3!$A$1:$A$213</definedName>
    <definedName name="ExternalData_24" localSheetId="26">PPA.4!$A$1:$A$213</definedName>
    <definedName name="ExternalData_24" localSheetId="27">PPA.5!$A$1:$A$212</definedName>
    <definedName name="ExternalData_24" localSheetId="28">PPA.6!$A$1:$A$212</definedName>
    <definedName name="ExternalData_24" localSheetId="29">PPA.7!$A$1:$A$213</definedName>
    <definedName name="ExternalData_24" localSheetId="30">PPA.8!$A$1:$A$83</definedName>
    <definedName name="ExternalData_24" localSheetId="31">PPA.9!$A$1:$A$213</definedName>
    <definedName name="ExternalData_25" localSheetId="23">PPA.1!$A$1:$A$212</definedName>
    <definedName name="ExternalData_25" localSheetId="32">PPA.10!$A$1:$A$212</definedName>
    <definedName name="ExternalData_25" localSheetId="33">PPA.11!$A$1:$A$212</definedName>
    <definedName name="ExternalData_25" localSheetId="2">PPA.16!$A$1:$A$212</definedName>
    <definedName name="ExternalData_25" localSheetId="15">PPA.17!$A$1:$A$213</definedName>
    <definedName name="ExternalData_25" localSheetId="16">PPA.18!$A$1:$A$213</definedName>
    <definedName name="ExternalData_25" localSheetId="17">PPA.19!$A$1:$A$212</definedName>
    <definedName name="ExternalData_25" localSheetId="24">PPA.2!$A$1:$A$213</definedName>
    <definedName name="ExternalData_25" localSheetId="18">PPA.20!$A$1:$A$212</definedName>
    <definedName name="ExternalData_25" localSheetId="19">PPA.21!$A$1:$A$213</definedName>
    <definedName name="ExternalData_25" localSheetId="20">PPA.22!$A$1:$A$213</definedName>
    <definedName name="ExternalData_25" localSheetId="21">PPA.23!$A$1:$A$212</definedName>
    <definedName name="ExternalData_25" localSheetId="25">PPA.3!$A$1:$A$212</definedName>
    <definedName name="ExternalData_25" localSheetId="26">PPA.4!$A$1:$A$212</definedName>
    <definedName name="ExternalData_25" localSheetId="27">PPA.5!$A$1:$A$212</definedName>
    <definedName name="ExternalData_25" localSheetId="28">PPA.6!$A$1:$A$213</definedName>
    <definedName name="ExternalData_25" localSheetId="29">PPA.7!$A$1:$A$213</definedName>
    <definedName name="ExternalData_25" localSheetId="30">PPA.8!$A$1:$A$83</definedName>
    <definedName name="ExternalData_25" localSheetId="31">PPA.9!$A$1:$A$212</definedName>
    <definedName name="ExternalData_26" localSheetId="23">PPA.1!$A$1:$A$212</definedName>
    <definedName name="ExternalData_26" localSheetId="32">PPA.10!$A$1:$A$212</definedName>
    <definedName name="ExternalData_26" localSheetId="33">PPA.11!$A$1:$A$212</definedName>
    <definedName name="ExternalData_26" localSheetId="2">PPA.16!$A$1:$A$212</definedName>
    <definedName name="ExternalData_26" localSheetId="15">PPA.17!$A$1:$A$213</definedName>
    <definedName name="ExternalData_26" localSheetId="16">PPA.18!$A$1:$A$213</definedName>
    <definedName name="ExternalData_26" localSheetId="17">PPA.19!$A$1:$A$212</definedName>
    <definedName name="ExternalData_26" localSheetId="24">PPA.2!$A$1:$A$212</definedName>
    <definedName name="ExternalData_26" localSheetId="18">PPA.20!$A$1:$A$212</definedName>
    <definedName name="ExternalData_26" localSheetId="19">PPA.21!$A$1:$A$212</definedName>
    <definedName name="ExternalData_26" localSheetId="20">PPA.22!$A$1:$A$212</definedName>
    <definedName name="ExternalData_26" localSheetId="21">PPA.23!$A$1:$A$212</definedName>
    <definedName name="ExternalData_26" localSheetId="25">PPA.3!$A$1:$A$212</definedName>
    <definedName name="ExternalData_26" localSheetId="26">PPA.4!$A$1:$A$213</definedName>
    <definedName name="ExternalData_26" localSheetId="27">PPA.5!$A$1:$A$213</definedName>
    <definedName name="ExternalData_26" localSheetId="28">PPA.6!$A$1:$A$212</definedName>
    <definedName name="ExternalData_26" localSheetId="29">PPA.7!$A$1:$A$213</definedName>
    <definedName name="ExternalData_26" localSheetId="30">PPA.8!$A$1:$A$2</definedName>
    <definedName name="ExternalData_26" localSheetId="31">PPA.9!$A$1:$A$212</definedName>
    <definedName name="ExternalData_27" localSheetId="23">PPA.1!$A$1:$A$212</definedName>
    <definedName name="ExternalData_27" localSheetId="32">PPA.10!$A$1:$A$212</definedName>
    <definedName name="ExternalData_27" localSheetId="33">PPA.11!$A$1:$A$212</definedName>
    <definedName name="ExternalData_27" localSheetId="2">PPA.16!$A$1:$A$212</definedName>
    <definedName name="ExternalData_27" localSheetId="15">PPA.17!$A$1:$A$213</definedName>
    <definedName name="ExternalData_27" localSheetId="16">PPA.18!$A$1:$A$213</definedName>
    <definedName name="ExternalData_27" localSheetId="17">PPA.19!$A$1:$A$213</definedName>
    <definedName name="ExternalData_27" localSheetId="24">PPA.2!$A$1:$A$212</definedName>
    <definedName name="ExternalData_27" localSheetId="18">PPA.20!$A$1:$A$213</definedName>
    <definedName name="ExternalData_27" localSheetId="19">PPA.21!$A$1:$A$212</definedName>
    <definedName name="ExternalData_27" localSheetId="20">PPA.22!$A$1:$A$212</definedName>
    <definedName name="ExternalData_27" localSheetId="21">PPA.23!$A$1:$A$212</definedName>
    <definedName name="ExternalData_27" localSheetId="25">PPA.3!$A$1:$A$212</definedName>
    <definedName name="ExternalData_27" localSheetId="26">PPA.4!$A$1:$A$213</definedName>
    <definedName name="ExternalData_27" localSheetId="27">PPA.5!$A$1:$A$212</definedName>
    <definedName name="ExternalData_27" localSheetId="28">PPA.6!$A$1:$A$212</definedName>
    <definedName name="ExternalData_27" localSheetId="29">PPA.7!$A$1:$A$213</definedName>
    <definedName name="ExternalData_27" localSheetId="30">PPA.8!$A$1:$A$2</definedName>
    <definedName name="ExternalData_27" localSheetId="31">PPA.9!$A$1:$A$212</definedName>
    <definedName name="ExternalData_28" localSheetId="32">PPA.10!$A$1:$A$212</definedName>
    <definedName name="ExternalData_28" localSheetId="33">PPA.11!$A$1:$A$2</definedName>
    <definedName name="ExternalData_28" localSheetId="2">PPA.16!$A$1:$A$212</definedName>
    <definedName name="ExternalData_28" localSheetId="15">PPA.17!$A$1:$A$213</definedName>
    <definedName name="ExternalData_28" localSheetId="16">PPA.18!$A$1:$A$213</definedName>
    <definedName name="ExternalData_28" localSheetId="17">PPA.19!$A$1:$A$212</definedName>
    <definedName name="ExternalData_28" localSheetId="24">PPA.2!$A$1:$A$212</definedName>
    <definedName name="ExternalData_28" localSheetId="18">PPA.20!$A$1:$A$212</definedName>
    <definedName name="ExternalData_28" localSheetId="19">PPA.21!$A$1:$A$212</definedName>
    <definedName name="ExternalData_28" localSheetId="20">PPA.22!$A$1:$A$212</definedName>
    <definedName name="ExternalData_28" localSheetId="21">PPA.23!$A$1:$A$212</definedName>
    <definedName name="ExternalData_28" localSheetId="25">PPA.3!$A$1:$A$212</definedName>
    <definedName name="ExternalData_28" localSheetId="26">PPA.4!$A$1:$A$212</definedName>
    <definedName name="ExternalData_28" localSheetId="27">PPA.5!$A$1:$A$213</definedName>
    <definedName name="ExternalData_28" localSheetId="28">PPA.6!$A$1:$A$212</definedName>
    <definedName name="ExternalData_28" localSheetId="29">PPA.7!$A$1:$A$213</definedName>
    <definedName name="ExternalData_28" localSheetId="30">PPA.8!$A$1:$A$2</definedName>
    <definedName name="ExternalData_28" localSheetId="31">PPA.9!$A$1:$A$212</definedName>
    <definedName name="ExternalData_29" localSheetId="32">PPA.10!$A$1:$A$212</definedName>
    <definedName name="ExternalData_29" localSheetId="33">PPA.11!$A$1:$A$2</definedName>
    <definedName name="ExternalData_29" localSheetId="15">PPA.17!$A$1:$A$213</definedName>
    <definedName name="ExternalData_29" localSheetId="16">PPA.18!$A$1:$A$212</definedName>
    <definedName name="ExternalData_29" localSheetId="17">PPA.19!$A$1:$A$212</definedName>
    <definedName name="ExternalData_29" localSheetId="24">PPA.2!$A$1:$A$212</definedName>
    <definedName name="ExternalData_29" localSheetId="18">PPA.20!$A$1:$A$212</definedName>
    <definedName name="ExternalData_29" localSheetId="19">PPA.21!$A$1:$A$212</definedName>
    <definedName name="ExternalData_29" localSheetId="20">PPA.22!$A$1:$A$212</definedName>
    <definedName name="ExternalData_29" localSheetId="21">PPA.23!$A$1:$A$212</definedName>
    <definedName name="ExternalData_29" localSheetId="25">PPA.3!$A$1:$A$212</definedName>
    <definedName name="ExternalData_29" localSheetId="26">PPA.4!$A$1:$A$212</definedName>
    <definedName name="ExternalData_29" localSheetId="27">PPA.5!$A$1:$A$213</definedName>
    <definedName name="ExternalData_29" localSheetId="28">PPA.6!$A$1:$A$212</definedName>
    <definedName name="ExternalData_29" localSheetId="29">PPA.7!$A$1:$A$213</definedName>
    <definedName name="ExternalData_29" localSheetId="30">PPA.8!$A$1:$A$212</definedName>
    <definedName name="ExternalData_29" localSheetId="31">PPA.9!$A$1:$A$212</definedName>
    <definedName name="ExternalData_3" localSheetId="8">'Cycle0.PPA'!$A$1:$A$213</definedName>
    <definedName name="ExternalData_3" localSheetId="7">MCO.PPA!$A$1:$A$213</definedName>
    <definedName name="ExternalData_3" localSheetId="6">PickStage.PPA!$B$1:$B$213</definedName>
    <definedName name="ExternalData_3" localSheetId="22">PPA.0!$A$1:$A$82</definedName>
    <definedName name="ExternalData_3" localSheetId="23">PPA.1!$A$1:$A$82</definedName>
    <definedName name="ExternalData_3" localSheetId="32">PPA.10!$A$1:$A$80</definedName>
    <definedName name="ExternalData_3" localSheetId="33">PPA.11!$A$1:$A$213</definedName>
    <definedName name="ExternalData_3" localSheetId="34">PPA.12!$A$1:$A$213</definedName>
    <definedName name="ExternalData_3" localSheetId="1">PPA.13!$A$1:$A$213</definedName>
    <definedName name="ExternalData_3" localSheetId="4">PPA.14!$A$1:$A$213</definedName>
    <definedName name="ExternalData_3" localSheetId="3">PPA.15!$A$1:$A$212</definedName>
    <definedName name="ExternalData_3" localSheetId="2">PPA.16!$A$1:$A$213</definedName>
    <definedName name="ExternalData_3" localSheetId="15">PPA.17!$A$1:$A$82</definedName>
    <definedName name="ExternalData_3" localSheetId="16">PPA.18!$A$1:$A$82</definedName>
    <definedName name="ExternalData_3" localSheetId="17">PPA.19!$A$1:$A$82</definedName>
    <definedName name="ExternalData_3" localSheetId="24">PPA.2!$A$1:$A$82</definedName>
    <definedName name="ExternalData_3" localSheetId="18">PPA.20!$A$1:$A$82</definedName>
    <definedName name="ExternalData_3" localSheetId="19">PPA.21!$A$1:$A$79</definedName>
    <definedName name="ExternalData_3" localSheetId="20">PPA.22!$A$1:$A$79</definedName>
    <definedName name="ExternalData_3" localSheetId="21">PPA.23!$A$1:$A$80</definedName>
    <definedName name="ExternalData_3" localSheetId="25">PPA.3!$A$1:$A$80</definedName>
    <definedName name="ExternalData_3" localSheetId="26">PPA.4!$A$1:$A$82</definedName>
    <definedName name="ExternalData_3" localSheetId="27">PPA.5!$A$1:$A$82</definedName>
    <definedName name="ExternalData_3" localSheetId="28">PPA.6!$A$1:$A$79</definedName>
    <definedName name="ExternalData_3" localSheetId="29">PPA.7!$A$1:$A$82</definedName>
    <definedName name="ExternalData_3" localSheetId="30">PPA.8!$A$1:$A$79</definedName>
    <definedName name="ExternalData_3" localSheetId="31">PPA.9!$A$1:$A$79</definedName>
    <definedName name="ExternalData_30" localSheetId="32">PPA.10!$A$1:$A$213</definedName>
    <definedName name="ExternalData_30" localSheetId="33">PPA.11!$A$1:$A$213</definedName>
    <definedName name="ExternalData_30" localSheetId="15">PPA.17!$A$1:$A$213</definedName>
    <definedName name="ExternalData_30" localSheetId="16">PPA.18!$A$1:$A$212</definedName>
    <definedName name="ExternalData_30" localSheetId="17">PPA.19!$A$1:$A$212</definedName>
    <definedName name="ExternalData_30" localSheetId="24">PPA.2!$A$1:$A$212</definedName>
    <definedName name="ExternalData_30" localSheetId="18">PPA.20!$A$1:$A$212</definedName>
    <definedName name="ExternalData_30" localSheetId="19">PPA.21!$A$1:$A$212</definedName>
    <definedName name="ExternalData_30" localSheetId="20">PPA.22!$A$1:$A$212</definedName>
    <definedName name="ExternalData_30" localSheetId="21">PPA.23!$A$1:$A$212</definedName>
    <definedName name="ExternalData_30" localSheetId="25">PPA.3!$A$1:$A$212</definedName>
    <definedName name="ExternalData_30" localSheetId="26">PPA.4!$A$1:$A$212</definedName>
    <definedName name="ExternalData_30" localSheetId="27">PPA.5!$A$1:$A$212</definedName>
    <definedName name="ExternalData_30" localSheetId="28">PPA.6!$A$1:$A$213</definedName>
    <definedName name="ExternalData_30" localSheetId="29">PPA.7!$A$1:$A$212</definedName>
    <definedName name="ExternalData_30" localSheetId="30">PPA.8!$A$1:$A$212</definedName>
    <definedName name="ExternalData_30" localSheetId="31">PPA.9!$A$1:$A$213</definedName>
    <definedName name="ExternalData_31" localSheetId="32">PPA.10!$A$1:$A$213</definedName>
    <definedName name="ExternalData_31" localSheetId="33">PPA.11!$A$1:$A$213</definedName>
    <definedName name="ExternalData_31" localSheetId="15">PPA.17!$A$1:$A$213</definedName>
    <definedName name="ExternalData_31" localSheetId="16">PPA.18!$A$1:$A$213</definedName>
    <definedName name="ExternalData_31" localSheetId="17">PPA.19!$A$1:$A$212</definedName>
    <definedName name="ExternalData_31" localSheetId="24">PPA.2!$A$1:$A$213</definedName>
    <definedName name="ExternalData_31" localSheetId="18">PPA.20!$A$1:$A$212</definedName>
    <definedName name="ExternalData_31" localSheetId="19">PPA.21!$A$1:$A$212</definedName>
    <definedName name="ExternalData_31" localSheetId="20">PPA.22!$A$1:$A$212</definedName>
    <definedName name="ExternalData_31" localSheetId="25">PPA.3!$A$1:$A$213</definedName>
    <definedName name="ExternalData_31" localSheetId="26">PPA.4!$A$1:$A$213</definedName>
    <definedName name="ExternalData_31" localSheetId="27">PPA.5!$A$1:$A$212</definedName>
    <definedName name="ExternalData_31" localSheetId="28">PPA.6!$A$1:$A$212</definedName>
    <definedName name="ExternalData_31" localSheetId="29">PPA.7!$A$1:$A$213</definedName>
    <definedName name="ExternalData_31" localSheetId="30">PPA.8!$A$1:$A$212</definedName>
    <definedName name="ExternalData_31" localSheetId="31">PPA.9!$A$1:$A$213</definedName>
    <definedName name="ExternalData_32" localSheetId="32">PPA.10!$A$1:$A$213</definedName>
    <definedName name="ExternalData_32" localSheetId="15">PPA.17!$A$1:$A$213</definedName>
    <definedName name="ExternalData_32" localSheetId="16">PPA.18!$A$1:$A$212</definedName>
    <definedName name="ExternalData_32" localSheetId="17">PPA.19!$A$1:$A$212</definedName>
    <definedName name="ExternalData_32" localSheetId="24">PPA.2!$A$1:$A$212</definedName>
    <definedName name="ExternalData_32" localSheetId="18">PPA.20!$A$1:$A$213</definedName>
    <definedName name="ExternalData_32" localSheetId="19">PPA.21!$A$1:$A$212</definedName>
    <definedName name="ExternalData_32" localSheetId="20">PPA.22!$A$1:$A$212</definedName>
    <definedName name="ExternalData_32" localSheetId="25">PPA.3!$A$1:$A$212</definedName>
    <definedName name="ExternalData_32" localSheetId="26">PPA.4!$A$1:$A$212</definedName>
    <definedName name="ExternalData_32" localSheetId="28">PPA.6!$A$1:$A$212</definedName>
    <definedName name="ExternalData_32" localSheetId="29">PPA.7!$A$1:$A$213</definedName>
    <definedName name="ExternalData_32" localSheetId="30">PPA.8!$A$1:$A$212</definedName>
    <definedName name="ExternalData_32" localSheetId="31">PPA.9!$A$1:$A$213</definedName>
    <definedName name="ExternalData_33" localSheetId="32">PPA.10!$A$1:$A$213</definedName>
    <definedName name="ExternalData_33" localSheetId="15">PPA.17!$A$1:$A$212</definedName>
    <definedName name="ExternalData_33" localSheetId="16">PPA.18!$A$1:$A$212</definedName>
    <definedName name="ExternalData_33" localSheetId="17">PPA.19!$A$1:$A$212</definedName>
    <definedName name="ExternalData_33" localSheetId="24">PPA.2!$A$1:$A$212</definedName>
    <definedName name="ExternalData_33" localSheetId="18">PPA.20!$A$1:$A$212</definedName>
    <definedName name="ExternalData_33" localSheetId="19">PPA.21!$A$1:$A$212</definedName>
    <definedName name="ExternalData_33" localSheetId="25">PPA.3!$A$1:$A$212</definedName>
    <definedName name="ExternalData_33" localSheetId="26">PPA.4!$A$1:$A$213</definedName>
    <definedName name="ExternalData_33" localSheetId="28">PPA.6!$A$1:$A$212</definedName>
    <definedName name="ExternalData_33" localSheetId="29">PPA.7!$A$1:$A$212</definedName>
    <definedName name="ExternalData_33" localSheetId="30">PPA.8!$A$1:$A$212</definedName>
    <definedName name="ExternalData_33" localSheetId="31">PPA.9!$A$1:$A$213</definedName>
    <definedName name="ExternalData_34" localSheetId="32">PPA.10!$A$1:$A$212</definedName>
    <definedName name="ExternalData_34" localSheetId="15">PPA.17!$A$1:$A$212</definedName>
    <definedName name="ExternalData_34" localSheetId="16">PPA.18!$A$1:$A$212</definedName>
    <definedName name="ExternalData_34" localSheetId="17">PPA.19!$A$1:$A$212</definedName>
    <definedName name="ExternalData_34" localSheetId="24">PPA.2!$A$1:$A$212</definedName>
    <definedName name="ExternalData_34" localSheetId="18">PPA.20!$A$1:$A$212</definedName>
    <definedName name="ExternalData_34" localSheetId="19">PPA.21!$A$1:$A$212</definedName>
    <definedName name="ExternalData_34" localSheetId="25">PPA.3!$A$1:$A$212</definedName>
    <definedName name="ExternalData_34" localSheetId="26">PPA.4!$A$1:$A$212</definedName>
    <definedName name="ExternalData_34" localSheetId="28">PPA.6!$A$1:$A$212</definedName>
    <definedName name="ExternalData_34" localSheetId="29">PPA.7!$A$1:$A$212</definedName>
    <definedName name="ExternalData_34" localSheetId="30">PPA.8!$A$1:$A$213</definedName>
    <definedName name="ExternalData_34" localSheetId="31">PPA.9!$A$1:$A$212</definedName>
    <definedName name="ExternalData_35" localSheetId="32">PPA.10!$A$1:$A$213</definedName>
    <definedName name="ExternalData_35" localSheetId="15">PPA.17!$A$1:$A$213</definedName>
    <definedName name="ExternalData_35" localSheetId="16">PPA.18!$A$1:$A$212</definedName>
    <definedName name="ExternalData_35" localSheetId="17">PPA.19!$A$1:$A$212</definedName>
    <definedName name="ExternalData_35" localSheetId="24">PPA.2!$A$1:$A$212</definedName>
    <definedName name="ExternalData_35" localSheetId="18">PPA.20!$A$1:$A$212</definedName>
    <definedName name="ExternalData_35" localSheetId="19">PPA.21!$A$1:$A$212</definedName>
    <definedName name="ExternalData_35" localSheetId="26">PPA.4!$A$1:$A$213</definedName>
    <definedName name="ExternalData_35" localSheetId="28">PPA.6!$A$1:$A$212</definedName>
    <definedName name="ExternalData_35" localSheetId="29">PPA.7!$A$1:$A$212</definedName>
    <definedName name="ExternalData_35" localSheetId="30">PPA.8!$A$1:$A$213</definedName>
    <definedName name="ExternalData_35" localSheetId="31">PPA.9!$A$1:$A$213</definedName>
    <definedName name="ExternalData_36" localSheetId="15">PPA.17!$A$1:$A$212</definedName>
    <definedName name="ExternalData_36" localSheetId="16">PPA.18!$A$1:$A$212</definedName>
    <definedName name="ExternalData_36" localSheetId="17">PPA.19!$A$1:$A$212</definedName>
    <definedName name="ExternalData_36" localSheetId="24">PPA.2!$A$1:$A$212</definedName>
    <definedName name="ExternalData_36" localSheetId="18">PPA.20!$A$1:$A$212</definedName>
    <definedName name="ExternalData_36" localSheetId="19">PPA.21!$A$1:$A$212</definedName>
    <definedName name="ExternalData_36" localSheetId="26">PPA.4!$A$1:$A$213</definedName>
    <definedName name="ExternalData_36" localSheetId="28">PPA.6!$A$1:$A$212</definedName>
    <definedName name="ExternalData_36" localSheetId="29">PPA.7!$A$1:$A$212</definedName>
    <definedName name="ExternalData_36" localSheetId="30">PPA.8!$A$1:$A$213</definedName>
    <definedName name="ExternalData_37" localSheetId="15">PPA.17!$A$1:$A$212</definedName>
    <definedName name="ExternalData_37" localSheetId="16">PPA.18!$A$1:$A$213</definedName>
    <definedName name="ExternalData_37" localSheetId="17">PPA.19!$A$1:$A$212</definedName>
    <definedName name="ExternalData_37" localSheetId="18">PPA.20!$A$1:$A$212</definedName>
    <definedName name="ExternalData_37" localSheetId="19">PPA.21!$A$1:$A$212</definedName>
    <definedName name="ExternalData_37" localSheetId="26">PPA.4!$A$1:$A$213</definedName>
    <definedName name="ExternalData_37" localSheetId="28">PPA.6!$A$1:$A$212</definedName>
    <definedName name="ExternalData_37" localSheetId="29">PPA.7!$A$1:$A$212</definedName>
    <definedName name="ExternalData_37" localSheetId="30">PPA.8!$A$1:$A$213</definedName>
    <definedName name="ExternalData_38" localSheetId="15">PPA.17!$A$1:$A$212</definedName>
    <definedName name="ExternalData_38" localSheetId="16">PPA.18!$A$1:$A$212</definedName>
    <definedName name="ExternalData_38" localSheetId="17">PPA.19!$A$1:$A$212</definedName>
    <definedName name="ExternalData_38" localSheetId="18">PPA.20!$A$1:$A$212</definedName>
    <definedName name="ExternalData_38" localSheetId="19">PPA.21!$A$1:$A$212</definedName>
    <definedName name="ExternalData_38" localSheetId="26">PPA.4!$A$1:$A$213</definedName>
    <definedName name="ExternalData_38" localSheetId="28">PPA.6!$A$1:$A$212</definedName>
    <definedName name="ExternalData_38" localSheetId="29">PPA.7!$A$1:$A$212</definedName>
    <definedName name="ExternalData_38" localSheetId="30">PPA.8!$A$1:$A$213</definedName>
    <definedName name="ExternalData_39" localSheetId="15">PPA.17!$A$1:$A$212</definedName>
    <definedName name="ExternalData_39" localSheetId="16">PPA.18!$A$1:$A$212</definedName>
    <definedName name="ExternalData_39" localSheetId="17">PPA.19!$A$1:$A$212</definedName>
    <definedName name="ExternalData_39" localSheetId="18">PPA.20!$A$1:$A$212</definedName>
    <definedName name="ExternalData_39" localSheetId="19">PPA.21!$A$1:$A$212</definedName>
    <definedName name="ExternalData_39" localSheetId="26">PPA.4!$A$1:$A$213</definedName>
    <definedName name="ExternalData_39" localSheetId="28">PPA.6!$A$1:$A$213</definedName>
    <definedName name="ExternalData_39" localSheetId="29">PPA.7!$A$1:$A$212</definedName>
    <definedName name="ExternalData_39" localSheetId="30">PPA.8!$A$1:$A$213</definedName>
    <definedName name="ExternalData_4" localSheetId="8">'Cycle0.PPA'!$A$1:$A$213</definedName>
    <definedName name="ExternalData_4" localSheetId="7">MCO.PPA!$A$1:$A$213</definedName>
    <definedName name="ExternalData_4" localSheetId="6">PickStage.PPA!$A$1:$A$213</definedName>
    <definedName name="ExternalData_4" localSheetId="22">PPA.0!$A$1:$A$82</definedName>
    <definedName name="ExternalData_4" localSheetId="23">PPA.1!$A$1:$A$82</definedName>
    <definedName name="ExternalData_4" localSheetId="32">PPA.10!$A$1:$A$79</definedName>
    <definedName name="ExternalData_4" localSheetId="33">PPA.11!$A$1:$A$213</definedName>
    <definedName name="ExternalData_4" localSheetId="34">PPA.12!$A$1:$A$213</definedName>
    <definedName name="ExternalData_4" localSheetId="1">PPA.13!$A$1:$A$213</definedName>
    <definedName name="ExternalData_4" localSheetId="4">PPA.14!$A$1:$A$213</definedName>
    <definedName name="ExternalData_4" localSheetId="3">PPA.15!$A$1:$A$212</definedName>
    <definedName name="ExternalData_4" localSheetId="2">PPA.16!$A$1:$A$213</definedName>
    <definedName name="ExternalData_4" localSheetId="15">PPA.17!$A$1:$A$82</definedName>
    <definedName name="ExternalData_4" localSheetId="16">PPA.18!$A$1:$A$82</definedName>
    <definedName name="ExternalData_4" localSheetId="17">PPA.19!$A$1:$A$82</definedName>
    <definedName name="ExternalData_4" localSheetId="24">PPA.2!$A$1:$A$82</definedName>
    <definedName name="ExternalData_4" localSheetId="18">PPA.20!$A$1:$A$82</definedName>
    <definedName name="ExternalData_4" localSheetId="19">PPA.21!$A$1:$A$82</definedName>
    <definedName name="ExternalData_4" localSheetId="20">PPA.22!$A$1:$A$79</definedName>
    <definedName name="ExternalData_4" localSheetId="21">PPA.23!$A$1:$A$82</definedName>
    <definedName name="ExternalData_4" localSheetId="25">PPA.3!$A$1:$A$80</definedName>
    <definedName name="ExternalData_4" localSheetId="26">PPA.4!$A$1:$A$82</definedName>
    <definedName name="ExternalData_4" localSheetId="27">PPA.5!$A$1:$A$2</definedName>
    <definedName name="ExternalData_4" localSheetId="28">PPA.6!$A$1:$A$82</definedName>
    <definedName name="ExternalData_4" localSheetId="29">PPA.7!$A$1:$A$82</definedName>
    <definedName name="ExternalData_4" localSheetId="30">PPA.8!$A$1:$A$80</definedName>
    <definedName name="ExternalData_4" localSheetId="31">PPA.9!$A$1:$A$79</definedName>
    <definedName name="ExternalData_40" localSheetId="15">PPA.17!$A$1:$A$212</definedName>
    <definedName name="ExternalData_40" localSheetId="16">PPA.18!$A$1:$A$212</definedName>
    <definedName name="ExternalData_40" localSheetId="18">PPA.20!$A$1:$A$212</definedName>
    <definedName name="ExternalData_40" localSheetId="19">PPA.21!$A$1:$A$212</definedName>
    <definedName name="ExternalData_40" localSheetId="26">PPA.4!$A$1:$A$212</definedName>
    <definedName name="ExternalData_40" localSheetId="28">PPA.6!$A$1:$A$213</definedName>
    <definedName name="ExternalData_40" localSheetId="29">PPA.7!$A$1:$A$213</definedName>
    <definedName name="ExternalData_40" localSheetId="30">PPA.8!$A$1:$A$212</definedName>
    <definedName name="ExternalData_41" localSheetId="15">PPA.17!$A$1:$A$212</definedName>
    <definedName name="ExternalData_41" localSheetId="16">PPA.18!$A$1:$A$212</definedName>
    <definedName name="ExternalData_41" localSheetId="18">PPA.20!$A$1:$A$212</definedName>
    <definedName name="ExternalData_41" localSheetId="26">PPA.4!$A$1:$A$213</definedName>
    <definedName name="ExternalData_41" localSheetId="28">PPA.6!$A$1:$A$213</definedName>
    <definedName name="ExternalData_41" localSheetId="29">PPA.7!$A$1:$A$213</definedName>
    <definedName name="ExternalData_41" localSheetId="30">PPA.8!$A$1:$A$213</definedName>
    <definedName name="ExternalData_42" localSheetId="15">PPA.17!$A$1:$A$212</definedName>
    <definedName name="ExternalData_42" localSheetId="16">PPA.18!$A$1:$A$212</definedName>
    <definedName name="ExternalData_42" localSheetId="18">PPA.20!$A$1:$A$212</definedName>
    <definedName name="ExternalData_42" localSheetId="26">PPA.4!$A$1:$A$212</definedName>
    <definedName name="ExternalData_42" localSheetId="28">PPA.6!$A$1:$A$212</definedName>
    <definedName name="ExternalData_42" localSheetId="29">PPA.7!$A$1:$A$213</definedName>
    <definedName name="ExternalData_42" localSheetId="30">PPA.8!$A$1:$A$213</definedName>
    <definedName name="ExternalData_43" localSheetId="15">PPA.17!$A$1:$A$212</definedName>
    <definedName name="ExternalData_43" localSheetId="16">PPA.18!$A$1:$A$212</definedName>
    <definedName name="ExternalData_43" localSheetId="18">PPA.20!$A$1:$A$212</definedName>
    <definedName name="ExternalData_43" localSheetId="26">PPA.4!$A$1:$C$6</definedName>
    <definedName name="ExternalData_43" localSheetId="28">PPA.6!$A$1:$A$212</definedName>
    <definedName name="ExternalData_43" localSheetId="29">PPA.7!$A$1:$A$213</definedName>
    <definedName name="ExternalData_43" localSheetId="30">PPA.8!$A$1:$A$212</definedName>
    <definedName name="ExternalData_44" localSheetId="15">PPA.17!$A$1:$A$212</definedName>
    <definedName name="ExternalData_44" localSheetId="16">PPA.18!$A$1:$A$212</definedName>
    <definedName name="ExternalData_44" localSheetId="18">PPA.20!$A$1:$A$212</definedName>
    <definedName name="ExternalData_44" localSheetId="28">PPA.6!$A$1:$A$212</definedName>
    <definedName name="ExternalData_44" localSheetId="29">PPA.7!$A$1:$A$212</definedName>
    <definedName name="ExternalData_44" localSheetId="30">PPA.8!$A$1:$A$212</definedName>
    <definedName name="ExternalData_45" localSheetId="15">PPA.17!$A$1:$A$212</definedName>
    <definedName name="ExternalData_45" localSheetId="16">PPA.18!$A$1:$A$212</definedName>
    <definedName name="ExternalData_45" localSheetId="18">PPA.20!$A$1:$A$212</definedName>
    <definedName name="ExternalData_45" localSheetId="28">PPA.6!$A$1:$A$212</definedName>
    <definedName name="ExternalData_45" localSheetId="29">PPA.7!$A$1:$A$213</definedName>
    <definedName name="ExternalData_45" localSheetId="30">PPA.8!$A$1:$A$212</definedName>
    <definedName name="ExternalData_46" localSheetId="15">PPA.17!$A$1:$A$212</definedName>
    <definedName name="ExternalData_46" localSheetId="16">PPA.18!$A$1:$A$212</definedName>
    <definedName name="ExternalData_46" localSheetId="18">PPA.20!$A$1:$A$212</definedName>
    <definedName name="ExternalData_46" localSheetId="28">PPA.6!$A$1:$A$212</definedName>
    <definedName name="ExternalData_46" localSheetId="29">PPA.7!$A$1:$A$212</definedName>
    <definedName name="ExternalData_46" localSheetId="30">PPA.8!$A$1:$A$212</definedName>
    <definedName name="ExternalData_47" localSheetId="15">PPA.17!$A$1:$A$212</definedName>
    <definedName name="ExternalData_47" localSheetId="16">PPA.18!$A$1:$A$212</definedName>
    <definedName name="ExternalData_47" localSheetId="18">PPA.20!$A$1:$A$212</definedName>
    <definedName name="ExternalData_47" localSheetId="28">PPA.6!$A$1:$A$212</definedName>
    <definedName name="ExternalData_47" localSheetId="30">PPA.8!$A$1:$A$212</definedName>
    <definedName name="ExternalData_48" localSheetId="15">PPA.17!$A$1:$A$212</definedName>
    <definedName name="ExternalData_48" localSheetId="16">PPA.18!$A$1:$A$212</definedName>
    <definedName name="ExternalData_48" localSheetId="18">PPA.20!$A$1:$A$212</definedName>
    <definedName name="ExternalData_48" localSheetId="28">PPA.6!$A$1:$A$213</definedName>
    <definedName name="ExternalData_48" localSheetId="30">PPA.8!$A$1:$A$212</definedName>
    <definedName name="ExternalData_49" localSheetId="15">PPA.17!$A$1:$A$212</definedName>
    <definedName name="ExternalData_49" localSheetId="16">PPA.18!$A$1:$A$212</definedName>
    <definedName name="ExternalData_49" localSheetId="18">PPA.20!$A$1:$A$212</definedName>
    <definedName name="ExternalData_49" localSheetId="28">PPA.6!$A$1:$A$212</definedName>
    <definedName name="ExternalData_49" localSheetId="30">PPA.8!$A$1:$A$213</definedName>
    <definedName name="ExternalData_5" localSheetId="7">MCO.PPA!$A$1:$A$213</definedName>
    <definedName name="ExternalData_5" localSheetId="6">PickStage.PPA!$A$1:$A$213</definedName>
    <definedName name="ExternalData_5" localSheetId="22">PPA.0!$A$1:$A$82</definedName>
    <definedName name="ExternalData_5" localSheetId="23">PPA.1!$A$1:$A$212</definedName>
    <definedName name="ExternalData_5" localSheetId="32">PPA.10!$A$1:$A$2</definedName>
    <definedName name="ExternalData_5" localSheetId="33">PPA.11!$A$1:$A$213</definedName>
    <definedName name="ExternalData_5" localSheetId="34">PPA.12!$A$1:$A$213</definedName>
    <definedName name="ExternalData_5" localSheetId="1">PPA.13!$A$1:$A$212</definedName>
    <definedName name="ExternalData_5" localSheetId="2">PPA.16!$A$1:$A$213</definedName>
    <definedName name="ExternalData_5" localSheetId="15">PPA.17!$A$1:$A$82</definedName>
    <definedName name="ExternalData_5" localSheetId="16">PPA.18!$A$1:$A$82</definedName>
    <definedName name="ExternalData_5" localSheetId="17">PPA.19!$A$1:$A$82</definedName>
    <definedName name="ExternalData_5" localSheetId="24">PPA.2!$A$1:$A$82</definedName>
    <definedName name="ExternalData_5" localSheetId="18">PPA.20!$A$1:$A$82</definedName>
    <definedName name="ExternalData_5" localSheetId="19">PPA.21!$A$1:$A$82</definedName>
    <definedName name="ExternalData_5" localSheetId="20">PPA.22!$A$1:$A$79</definedName>
    <definedName name="ExternalData_5" localSheetId="21">PPA.23!$A$1:$A$82</definedName>
    <definedName name="ExternalData_5" localSheetId="25">PPA.3!$A$1:$A$82</definedName>
    <definedName name="ExternalData_5" localSheetId="26">PPA.4!$A$1:$A$83</definedName>
    <definedName name="ExternalData_5" localSheetId="27">PPA.5!$A$1:$A$83</definedName>
    <definedName name="ExternalData_5" localSheetId="28">PPA.6!$A$1:$A$82</definedName>
    <definedName name="ExternalData_5" localSheetId="29">PPA.7!$A$1:$A$82</definedName>
    <definedName name="ExternalData_5" localSheetId="30">PPA.8!$A$1:$A$79</definedName>
    <definedName name="ExternalData_5" localSheetId="31">PPA.9!$A$1:$A$82</definedName>
    <definedName name="ExternalData_50" localSheetId="15">PPA.17!$A$1:$A$212</definedName>
    <definedName name="ExternalData_50" localSheetId="16">PPA.18!$A$1:$A$212</definedName>
    <definedName name="ExternalData_50" localSheetId="18">PPA.20!$A$1:$A$212</definedName>
    <definedName name="ExternalData_50" localSheetId="28">PPA.6!$A$1:$A$212</definedName>
    <definedName name="ExternalData_50" localSheetId="30">PPA.8!$A$1:$A$213</definedName>
    <definedName name="ExternalData_51" localSheetId="15">PPA.17!$A$1:$A$212</definedName>
    <definedName name="ExternalData_51" localSheetId="16">PPA.18!$A$1:$A$212</definedName>
    <definedName name="ExternalData_51" localSheetId="28">PPA.6!$A$1:$A$212</definedName>
    <definedName name="ExternalData_51" localSheetId="30">PPA.8!$A$1:$A$213</definedName>
    <definedName name="ExternalData_52" localSheetId="16">PPA.18!$A$1:$A$212</definedName>
    <definedName name="ExternalData_52" localSheetId="28">PPA.6!$A$1:$A$213</definedName>
    <definedName name="ExternalData_52" localSheetId="30">PPA.8!$A$1:$A$213</definedName>
    <definedName name="ExternalData_53" localSheetId="16">PPA.18!$A$1:$A$212</definedName>
    <definedName name="ExternalData_53" localSheetId="30">PPA.8!$A$1:$A$212</definedName>
    <definedName name="ExternalData_54" localSheetId="30">PPA.8!$A$1:$A$213</definedName>
    <definedName name="ExternalData_6" localSheetId="7">MCO.PPA!$A$1:$A$213</definedName>
    <definedName name="ExternalData_6" localSheetId="6">PickStage.PPA!$A$1:$A$213</definedName>
    <definedName name="ExternalData_6" localSheetId="22">PPA.0!$A$1:$A$212</definedName>
    <definedName name="ExternalData_6" localSheetId="23">PPA.1!$A$1:$A$212</definedName>
    <definedName name="ExternalData_6" localSheetId="32">PPA.10!$A$1:$A$2</definedName>
    <definedName name="ExternalData_6" localSheetId="33">PPA.11!$A$1:$A$213</definedName>
    <definedName name="ExternalData_6" localSheetId="34">PPA.12!$A$1:$A$213</definedName>
    <definedName name="ExternalData_6" localSheetId="1">PPA.13!$A$1:$A$212</definedName>
    <definedName name="ExternalData_6" localSheetId="2">PPA.16!$A$1:$A$212</definedName>
    <definedName name="ExternalData_6" localSheetId="15">PPA.17!$A$1:$A$82</definedName>
    <definedName name="ExternalData_6" localSheetId="16">PPA.18!$A$1:$A$82</definedName>
    <definedName name="ExternalData_6" localSheetId="17">PPA.19!$A$1:$A$82</definedName>
    <definedName name="ExternalData_6" localSheetId="24">PPA.2!$A$1:$A$82</definedName>
    <definedName name="ExternalData_6" localSheetId="18">PPA.20!$A$1:$A$82</definedName>
    <definedName name="ExternalData_6" localSheetId="19">PPA.21!$A$1:$A$82</definedName>
    <definedName name="ExternalData_6" localSheetId="20">PPA.22!$A$1:$A$82</definedName>
    <definedName name="ExternalData_6" localSheetId="21">PPA.23!$A$1:$A$82</definedName>
    <definedName name="ExternalData_6" localSheetId="25">PPA.3!$A$1:$A$82</definedName>
    <definedName name="ExternalData_6" localSheetId="26">PPA.4!$A$1:$A$83</definedName>
    <definedName name="ExternalData_6" localSheetId="27">PPA.5!$A$1:$A$2</definedName>
    <definedName name="ExternalData_6" localSheetId="28">PPA.6!$A$1:$A$82</definedName>
    <definedName name="ExternalData_6" localSheetId="29">PPA.7!$A$1:$A$83</definedName>
    <definedName name="ExternalData_6" localSheetId="30">PPA.8!$A$1:$A$79</definedName>
    <definedName name="ExternalData_6" localSheetId="31">PPA.9!$A$1:$A$82</definedName>
    <definedName name="ExternalData_7" localSheetId="7">MCO.PPA!$A$1:$A$213</definedName>
    <definedName name="ExternalData_7" localSheetId="6">PickStage.PPA!$A$1:$A$213</definedName>
    <definedName name="ExternalData_7" localSheetId="22">PPA.0!$A$1:$A$212</definedName>
    <definedName name="ExternalData_7" localSheetId="23">PPA.1!$A$1:$A$212</definedName>
    <definedName name="ExternalData_7" localSheetId="32">PPA.10!$A$1:$A$2</definedName>
    <definedName name="ExternalData_7" localSheetId="33">PPA.11!$A$1:$A$213</definedName>
    <definedName name="ExternalData_7" localSheetId="34">PPA.12!$A$1:$A$212</definedName>
    <definedName name="ExternalData_7" localSheetId="1">PPA.13!$A$1:$A$213</definedName>
    <definedName name="ExternalData_7" localSheetId="2">PPA.16!$A$1:$A$212</definedName>
    <definedName name="ExternalData_7" localSheetId="15">PPA.17!$A$1:$A$82</definedName>
    <definedName name="ExternalData_7" localSheetId="16">PPA.18!$A$1:$A$82</definedName>
    <definedName name="ExternalData_7" localSheetId="17">PPA.19!$A$1:$A$82</definedName>
    <definedName name="ExternalData_7" localSheetId="24">PPA.2!$A$1:$A$83</definedName>
    <definedName name="ExternalData_7" localSheetId="18">PPA.20!$A$1:$A$82</definedName>
    <definedName name="ExternalData_7" localSheetId="19">PPA.21!$A$1:$A$82</definedName>
    <definedName name="ExternalData_7" localSheetId="20">PPA.22!$A$1:$A$82</definedName>
    <definedName name="ExternalData_7" localSheetId="21">PPA.23!$A$1:$A$82</definedName>
    <definedName name="ExternalData_7" localSheetId="25">PPA.3!$A$1:$A$82</definedName>
    <definedName name="ExternalData_7" localSheetId="26">PPA.4!$A$1:$A$83</definedName>
    <definedName name="ExternalData_7" localSheetId="27">PPA.5!$A$1:$A$2</definedName>
    <definedName name="ExternalData_7" localSheetId="28">PPA.6!$A$1:$A$83</definedName>
    <definedName name="ExternalData_7" localSheetId="29">PPA.7!$A$1:$A$2</definedName>
    <definedName name="ExternalData_7" localSheetId="30">PPA.8!$A$1:$A$80</definedName>
    <definedName name="ExternalData_7" localSheetId="31">PPA.9!$A$1:$A$82</definedName>
    <definedName name="ExternalData_8" localSheetId="7">MCO.PPA!$A$1:$A$213</definedName>
    <definedName name="ExternalData_8" localSheetId="6">PickStage.PPA!$A$1:$A$213</definedName>
    <definedName name="ExternalData_8" localSheetId="22">PPA.0!$A$1:$A$212</definedName>
    <definedName name="ExternalData_8" localSheetId="23">PPA.1!$A$1:$A$212</definedName>
    <definedName name="ExternalData_8" localSheetId="32">PPA.10!$A$1:$A$2</definedName>
    <definedName name="ExternalData_8" localSheetId="33">PPA.11!$A$1:$A$213</definedName>
    <definedName name="ExternalData_8" localSheetId="34">PPA.12!$A$1:$A$212</definedName>
    <definedName name="ExternalData_8" localSheetId="2">PPA.16!$A$1:$A$212</definedName>
    <definedName name="ExternalData_8" localSheetId="15">PPA.17!$A$1:$A$82</definedName>
    <definedName name="ExternalData_8" localSheetId="16">PPA.18!$A$1:$A$82</definedName>
    <definedName name="ExternalData_8" localSheetId="17">PPA.19!$A$1:$A$82</definedName>
    <definedName name="ExternalData_8" localSheetId="24">PPA.2!$A$1:$A$83</definedName>
    <definedName name="ExternalData_8" localSheetId="18">PPA.20!$A$1:$A$2</definedName>
    <definedName name="ExternalData_8" localSheetId="19">PPA.21!$A$1:$A$82</definedName>
    <definedName name="ExternalData_8" localSheetId="20">PPA.22!$A$1:$A$82</definedName>
    <definedName name="ExternalData_8" localSheetId="21">PPA.23!$A$1:$A$80</definedName>
    <definedName name="ExternalData_8" localSheetId="25">PPA.3!$A$1:$A$82</definedName>
    <definedName name="ExternalData_8" localSheetId="26">PPA.4!$A$1:$A$83</definedName>
    <definedName name="ExternalData_8" localSheetId="27">PPA.5!$A$1:$A$2</definedName>
    <definedName name="ExternalData_8" localSheetId="28">PPA.6!$A$1:$A$2</definedName>
    <definedName name="ExternalData_8" localSheetId="29">PPA.7!$A$1:$A$83</definedName>
    <definedName name="ExternalData_8" localSheetId="30">PPA.8!$A$1:$A$82</definedName>
    <definedName name="ExternalData_8" localSheetId="31">PPA.9!$A$1:$A$83</definedName>
    <definedName name="ExternalData_9" localSheetId="7">MCO.PPA!$A$1:$A$213</definedName>
    <definedName name="ExternalData_9" localSheetId="6">PickStage.PPA!$A$1:$A$213</definedName>
    <definedName name="ExternalData_9" localSheetId="22">PPA.0!$A$1:$A$213</definedName>
    <definedName name="ExternalData_9" localSheetId="23">PPA.1!$A$1:$A$213</definedName>
    <definedName name="ExternalData_9" localSheetId="32">PPA.10!$A$1:$A$213</definedName>
    <definedName name="ExternalData_9" localSheetId="33">PPA.11!$A$1:$A$213</definedName>
    <definedName name="ExternalData_9" localSheetId="34">PPA.12!$A$1:$A$212</definedName>
    <definedName name="ExternalData_9" localSheetId="2">PPA.16!$A$1:$A$212</definedName>
    <definedName name="ExternalData_9" localSheetId="15">PPA.17!$A$1:$A$82</definedName>
    <definedName name="ExternalData_9" localSheetId="16">PPA.18!$A$1:$A$82</definedName>
    <definedName name="ExternalData_9" localSheetId="17">PPA.19!$A$1:$A$82</definedName>
    <definedName name="ExternalData_9" localSheetId="24">PPA.2!$A$1:$A$83</definedName>
    <definedName name="ExternalData_9" localSheetId="18">PPA.20!$A$1:$A$2</definedName>
    <definedName name="ExternalData_9" localSheetId="19">PPA.21!$A$1:$A$82</definedName>
    <definedName name="ExternalData_9" localSheetId="20">PPA.22!$A$1:$A$82</definedName>
    <definedName name="ExternalData_9" localSheetId="21">PPA.23!$A$1:$C$6</definedName>
    <definedName name="ExternalData_9" localSheetId="25">PPA.3!$A$1:$A$83</definedName>
    <definedName name="ExternalData_9" localSheetId="26">PPA.4!$A$1:$A$83</definedName>
    <definedName name="ExternalData_9" localSheetId="27">PPA.5!$A$1:$A$213</definedName>
    <definedName name="ExternalData_9" localSheetId="28">PPA.6!$A$1:$A$80</definedName>
    <definedName name="ExternalData_9" localSheetId="29">PPA.7!$A$1:$A$80</definedName>
    <definedName name="ExternalData_9" localSheetId="30">PPA.8!$A$1:$A$82</definedName>
    <definedName name="ExternalData_9" localSheetId="31">PPA.9!$A$1:$A$213</definedName>
    <definedName name="Hourly" localSheetId="5">'24Hour'!$B$8:$R$51</definedName>
    <definedName name="Hourly" localSheetId="13">'Pick and Stage Execution'!$B$6:$K$54</definedName>
    <definedName name="Hourly" localSheetId="11">'Sort 0 Execution'!$B$6:$I$65</definedName>
    <definedName name="Hourly" localSheetId="12">'Sort 1 Execution'!$B$6:$M$65</definedName>
    <definedName name="HourlyEmail" localSheetId="13">'Pick and Stage Execution'!#REF!</definedName>
    <definedName name="HourlyEmail" localSheetId="11">'Sort 0 Execution'!#REF!</definedName>
    <definedName name="HourlyEmail" localSheetId="12">'Sort 1 Execution'!$H$3</definedName>
    <definedName name="HourlySubject" localSheetId="13">'Pick and Stage Execution'!#REF!</definedName>
    <definedName name="HourlySubject" localSheetId="11">'Sort 0 Execution'!#REF!</definedName>
    <definedName name="HourlySubject" localSheetId="12">'Sort 1 Execution'!$H$2</definedName>
    <definedName name="MCO_FPH">'MCO Hourly'!$C$15</definedName>
    <definedName name="MCO_Hourly_UPLOAD_DATA">'MCO Hourly'!$A$15,'MCO Hourly'!$C$16:$C$20,'MCO Hourly'!$C$22:$C$23,'MCO Hourly'!$C$25,'MCO Hourly'!$C$27:$C$47,'MCO Hourly'!$C$50:$C$70,'MCO Hourly'!$C$73</definedName>
    <definedName name="MCO_TOTALHOURS">'MCO Hourly'!$L$13</definedName>
    <definedName name="MCOHourly">'MCO Hourly'!$B$6:$L$26</definedName>
    <definedName name="MCOHourlyEmail">'MCO Hourly'!$L$3</definedName>
    <definedName name="MCOHourlySubject">'MCO Hourly'!$L$2</definedName>
    <definedName name="MCORange">'24Hour'!$G$12</definedName>
    <definedName name="pfsdEnd">'24Hour'!$K$52</definedName>
    <definedName name="PFSDRange">'24Hour'!$J$12</definedName>
    <definedName name="pfsdStart">'24Hour'!$J$52</definedName>
    <definedName name="Pick_and_Stage_Execution_FPH">'Pick and Stage Execution'!$C$15</definedName>
    <definedName name="Pick_and_Stage_Execution_TOTALHOURS">'Pick and Stage Execution'!$K$13</definedName>
    <definedName name="Pick_and_Stage_Execution_UPLOAD_DATA">'Pick and Stage Execution'!$A$15,'Pick and Stage Execution'!$C$16:$C$17,'Pick and Stage Execution'!$C$19:$C$20,'Pick and Stage Execution'!$C$22:$C$23,'Pick and Stage Execution'!$C$25,'Pick and Stage Execution'!$C$27:$C$38,'Pick and Stage Execution'!$C$40:$C$51,'Pick and Stage Execution'!$C$53</definedName>
    <definedName name="PickStageEnd">'24Hour'!$E$52</definedName>
    <definedName name="PickStageRange">'24Hour'!$D$12</definedName>
    <definedName name="PickStageStart">'24Hour'!$D$52</definedName>
    <definedName name="PSStart" localSheetId="14">#REF!</definedName>
    <definedName name="PSStart" localSheetId="13">#REF!</definedName>
    <definedName name="PSStart" localSheetId="11">#REF!</definedName>
    <definedName name="PSStart" localSheetId="12">#REF!</definedName>
    <definedName name="Sort_0_Execution_FPH">'Sort 0 Execution'!$C$15</definedName>
    <definedName name="Sort_0_Execution_TOTALHOURS">'Sort 0 Execution'!$I$13</definedName>
    <definedName name="Sort_0_Execution_UPLOAD_DATA">'Sort 0 Execution'!$A$15,'Sort 0 Execution'!$C$16:$C$17,'Sort 0 Execution'!$C$19:$C$43,'Sort 0 Execution'!$C$45:$C$64</definedName>
    <definedName name="Sort_1_Execution_FPH">'Sort 1 Execution'!$C$15</definedName>
    <definedName name="Sort_1_Execution_TOTALHOURS">'Sort 1 Execution'!$M$13</definedName>
    <definedName name="Sort_1_Execution_UPLOAD_DATA">'Sort 1 Execution'!$A$15,'Sort 1 Execution'!$C$16:$C$17,'Sort 1 Execution'!$C$19:$C$20,'Sort 1 Execution'!$C$22:$C$23,'Sort 1 Execution'!$C$25,'Sort 1 Execution'!$C$27:$C$43,'Sort 1 Execution'!$C$46:$C$62,'Sort 1 Execution'!$C$64</definedName>
    <definedName name="sortBEnd">'24Hour'!$H$52</definedName>
    <definedName name="sortBStart">'24Hour'!$G$52</definedName>
    <definedName name="StartDate" localSheetId="5">'24Hour'!$I$2</definedName>
    <definedName name="StartDate" localSheetId="14">'MCO Hourly'!$C$3</definedName>
    <definedName name="StartDate" localSheetId="13">'Pick and Stage Execution'!$C$3</definedName>
    <definedName name="StartDate" localSheetId="11">'Sort 0 Execution'!$C$3</definedName>
    <definedName name="StartDate" localSheetId="12">'Sort 1 Execution'!$C$3</definedName>
    <definedName name="StartTime" localSheetId="5">'24Hour'!$I$4</definedName>
    <definedName name="StartTime" localSheetId="14">'MCO Hourly'!$E$3</definedName>
    <definedName name="StartTime" localSheetId="13">'Pick and Stage Execution'!#REF!</definedName>
    <definedName name="StartTime" localSheetId="11">'Sort 0 Execution'!$E$3</definedName>
    <definedName name="StartTime" localSheetId="12">'Sort 1 Execution'!#REF!</definedName>
    <definedName name="test1">'[1]SPT vs Actual'!$E$39,'[1]SPT vs Actual'!$E$53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84" l="1"/>
  <c r="J18" i="84"/>
  <c r="M18" i="84"/>
  <c r="P18" i="84"/>
  <c r="G18" i="84"/>
  <c r="M15" i="84"/>
  <c r="J15" i="84"/>
  <c r="P15" i="84"/>
  <c r="D15" i="84"/>
  <c r="G15" i="84"/>
  <c r="R44" i="84"/>
  <c r="L46" i="84"/>
  <c r="R36" i="84"/>
  <c r="L38" i="84"/>
  <c r="O31" i="84"/>
  <c r="R24" i="84"/>
  <c r="L26" i="84"/>
  <c r="O45" i="84"/>
  <c r="L30" i="84"/>
  <c r="O42" i="84"/>
  <c r="L27" i="84"/>
  <c r="R43" i="84"/>
  <c r="L45" i="84"/>
  <c r="R35" i="84"/>
  <c r="L37" i="84"/>
  <c r="O30" i="84"/>
  <c r="R23" i="84"/>
  <c r="L25" i="84"/>
  <c r="R32" i="84"/>
  <c r="O23" i="84"/>
  <c r="L39" i="84"/>
  <c r="R42" i="84"/>
  <c r="L44" i="84"/>
  <c r="O39" i="84"/>
  <c r="L36" i="84"/>
  <c r="L32" i="84"/>
  <c r="O27" i="84"/>
  <c r="L24" i="84"/>
  <c r="O37" i="84"/>
  <c r="R26" i="84"/>
  <c r="R25" i="84"/>
  <c r="O46" i="84"/>
  <c r="L43" i="84"/>
  <c r="O38" i="84"/>
  <c r="L35" i="84"/>
  <c r="L31" i="84"/>
  <c r="O26" i="84"/>
  <c r="L23" i="84"/>
  <c r="L42" i="84"/>
  <c r="O25" i="84"/>
  <c r="R37" i="84"/>
  <c r="O44" i="84"/>
  <c r="R39" i="84"/>
  <c r="O36" i="84"/>
  <c r="R31" i="84"/>
  <c r="R27" i="84"/>
  <c r="O24" i="84"/>
  <c r="R46" i="84"/>
  <c r="O43" i="84"/>
  <c r="R38" i="84"/>
  <c r="O35" i="84"/>
  <c r="R30" i="84"/>
  <c r="R45" i="84"/>
  <c r="O32" i="84"/>
  <c r="I46" i="84"/>
  <c r="I36" i="84"/>
  <c r="I45" i="84"/>
  <c r="I35" i="84"/>
  <c r="I44" i="84"/>
  <c r="I32" i="84"/>
  <c r="I43" i="84"/>
  <c r="I31" i="84"/>
  <c r="I42" i="84"/>
  <c r="I30" i="84"/>
  <c r="I39" i="84"/>
  <c r="I37" i="84"/>
  <c r="I38" i="84"/>
  <c r="I27" i="84"/>
  <c r="I26" i="84"/>
  <c r="I25" i="84"/>
  <c r="I24" i="84"/>
  <c r="I23" i="84"/>
  <c r="F46" i="84"/>
  <c r="F45" i="84"/>
  <c r="F44" i="84"/>
  <c r="F43" i="84"/>
  <c r="F42" i="84"/>
  <c r="F39" i="84"/>
  <c r="F38" i="84"/>
  <c r="F37" i="84"/>
  <c r="F36" i="84"/>
  <c r="F35" i="84"/>
  <c r="F32" i="84"/>
  <c r="F31" i="84"/>
  <c r="F30" i="84"/>
  <c r="F27" i="84"/>
  <c r="F26" i="84"/>
  <c r="P16" i="84" l="1"/>
  <c r="M16" i="84"/>
  <c r="G16" i="84"/>
  <c r="J16" i="84"/>
  <c r="D16" i="84"/>
  <c r="F25" i="84"/>
  <c r="F24" i="84"/>
  <c r="F23" i="84"/>
  <c r="Q2" i="84"/>
  <c r="R50" i="84"/>
  <c r="J50" i="84"/>
  <c r="Q50" i="84"/>
  <c r="P50" i="84"/>
  <c r="O50" i="84"/>
  <c r="K50" i="84"/>
  <c r="N50" i="84"/>
  <c r="L50" i="84"/>
  <c r="M50" i="84"/>
  <c r="G50" i="84"/>
  <c r="I50" i="84"/>
  <c r="H50" i="84"/>
  <c r="D50" i="84"/>
  <c r="F50" i="84"/>
  <c r="E50" i="84"/>
  <c r="P43" i="84"/>
  <c r="P31" i="84"/>
  <c r="P30" i="84"/>
  <c r="M44" i="84"/>
  <c r="M37" i="84"/>
  <c r="J43" i="84"/>
  <c r="J31" i="84"/>
  <c r="J27" i="84"/>
  <c r="G46" i="84"/>
  <c r="G35" i="84"/>
  <c r="D38" i="84"/>
  <c r="D25" i="84"/>
  <c r="P26" i="84"/>
  <c r="J24" i="84"/>
  <c r="P44" i="84"/>
  <c r="P32" i="84"/>
  <c r="M45" i="84"/>
  <c r="M38" i="84"/>
  <c r="M24" i="84"/>
  <c r="J44" i="84"/>
  <c r="J32" i="84"/>
  <c r="G36" i="84"/>
  <c r="G30" i="84"/>
  <c r="D43" i="84"/>
  <c r="D39" i="84"/>
  <c r="D24" i="84"/>
  <c r="P39" i="84"/>
  <c r="G27" i="84"/>
  <c r="D30" i="84"/>
  <c r="J39" i="84"/>
  <c r="G45" i="84"/>
  <c r="D37" i="84"/>
  <c r="P45" i="84"/>
  <c r="P24" i="84"/>
  <c r="P23" i="84"/>
  <c r="M46" i="84"/>
  <c r="M39" i="84"/>
  <c r="M42" i="84"/>
  <c r="M25" i="84"/>
  <c r="J45" i="84"/>
  <c r="J42" i="84"/>
  <c r="J23" i="84"/>
  <c r="G39" i="84"/>
  <c r="G24" i="84"/>
  <c r="D46" i="84"/>
  <c r="D35" i="84"/>
  <c r="D23" i="84"/>
  <c r="P46" i="84"/>
  <c r="P25" i="84"/>
  <c r="M35" i="84"/>
  <c r="M26" i="84"/>
  <c r="J46" i="84"/>
  <c r="J35" i="84"/>
  <c r="G37" i="84"/>
  <c r="G25" i="84"/>
  <c r="D44" i="84"/>
  <c r="D31" i="84"/>
  <c r="M31" i="84"/>
  <c r="J37" i="84"/>
  <c r="G31" i="84"/>
  <c r="P36" i="84"/>
  <c r="P27" i="84"/>
  <c r="M30" i="84"/>
  <c r="M27" i="84"/>
  <c r="J36" i="84"/>
  <c r="J30" i="84"/>
  <c r="G38" i="84"/>
  <c r="G26" i="84"/>
  <c r="D45" i="84"/>
  <c r="D32" i="84"/>
  <c r="G43" i="84"/>
  <c r="D42" i="84"/>
  <c r="P37" i="84"/>
  <c r="P42" i="84"/>
  <c r="M32" i="84"/>
  <c r="M23" i="84"/>
  <c r="J38" i="84"/>
  <c r="J25" i="84"/>
  <c r="G44" i="84"/>
  <c r="G32" i="84"/>
  <c r="G23" i="84"/>
  <c r="D36" i="84"/>
  <c r="D26" i="84"/>
  <c r="P38" i="84"/>
  <c r="P35" i="84"/>
  <c r="M43" i="84"/>
  <c r="M36" i="84"/>
  <c r="J26" i="84"/>
  <c r="G42" i="84"/>
  <c r="D27" i="84"/>
  <c r="Q35" i="84" l="1"/>
  <c r="Q38" i="84"/>
  <c r="Q42" i="84"/>
  <c r="Q37" i="84"/>
  <c r="Q27" i="84"/>
  <c r="Q36" i="84"/>
  <c r="Q25" i="84"/>
  <c r="Q46" i="84"/>
  <c r="Q24" i="84"/>
  <c r="Q45" i="84"/>
  <c r="Q39" i="84"/>
  <c r="Q32" i="84"/>
  <c r="Q44" i="84"/>
  <c r="Q26" i="84"/>
  <c r="Q30" i="84"/>
  <c r="Q31" i="84"/>
  <c r="Q43" i="84"/>
  <c r="Q23" i="84"/>
  <c r="N36" i="84"/>
  <c r="N43" i="84"/>
  <c r="N32" i="84"/>
  <c r="N27" i="84"/>
  <c r="N30" i="84"/>
  <c r="N31" i="84"/>
  <c r="N26" i="84"/>
  <c r="N35" i="84"/>
  <c r="N25" i="84"/>
  <c r="N42" i="84"/>
  <c r="N39" i="84"/>
  <c r="N46" i="84"/>
  <c r="N24" i="84"/>
  <c r="N38" i="84"/>
  <c r="N45" i="84"/>
  <c r="N37" i="84"/>
  <c r="N44" i="84"/>
  <c r="N23" i="84"/>
  <c r="K26" i="84"/>
  <c r="K25" i="84"/>
  <c r="K38" i="84"/>
  <c r="K30" i="84"/>
  <c r="K36" i="84"/>
  <c r="K37" i="84"/>
  <c r="K35" i="84"/>
  <c r="K46" i="84"/>
  <c r="K42" i="84"/>
  <c r="K45" i="84"/>
  <c r="K39" i="84"/>
  <c r="K32" i="84"/>
  <c r="K44" i="84"/>
  <c r="K24" i="84"/>
  <c r="K27" i="84"/>
  <c r="K31" i="84"/>
  <c r="K43" i="84"/>
  <c r="K23" i="84"/>
  <c r="H42" i="84"/>
  <c r="H32" i="84"/>
  <c r="H44" i="84"/>
  <c r="H43" i="84"/>
  <c r="H26" i="84"/>
  <c r="H38" i="84"/>
  <c r="H31" i="84"/>
  <c r="H25" i="84"/>
  <c r="H37" i="84"/>
  <c r="H24" i="84"/>
  <c r="H39" i="84"/>
  <c r="H45" i="84"/>
  <c r="H27" i="84"/>
  <c r="H30" i="84"/>
  <c r="H36" i="84"/>
  <c r="H35" i="84"/>
  <c r="H46" i="84"/>
  <c r="H23" i="84"/>
  <c r="E45" i="84"/>
  <c r="E44" i="84"/>
  <c r="E46" i="84"/>
  <c r="E43" i="84"/>
  <c r="E36" i="84"/>
  <c r="E37" i="84"/>
  <c r="E39" i="84"/>
  <c r="E38" i="84"/>
  <c r="E32" i="84"/>
  <c r="E31" i="84"/>
  <c r="E42" i="84"/>
  <c r="E35" i="84"/>
  <c r="E30" i="84"/>
  <c r="E27" i="84"/>
  <c r="E26" i="84"/>
  <c r="E24" i="84"/>
  <c r="E25" i="84"/>
  <c r="E23" i="84"/>
  <c r="K13" i="82"/>
  <c r="J11" i="82"/>
  <c r="J15" i="82"/>
  <c r="J36" i="82"/>
  <c r="H16" i="82"/>
  <c r="J30" i="82"/>
  <c r="J16" i="82"/>
  <c r="E16" i="49"/>
  <c r="I16" i="49"/>
  <c r="J27" i="82"/>
  <c r="J35" i="82"/>
  <c r="G16" i="49"/>
  <c r="F16" i="82"/>
  <c r="J34" i="82"/>
  <c r="J37" i="82"/>
  <c r="J31" i="82"/>
  <c r="J22" i="82"/>
  <c r="J16" i="49"/>
  <c r="D16" i="82"/>
  <c r="H16" i="49"/>
  <c r="I16" i="82"/>
  <c r="G16" i="82"/>
  <c r="F16" i="49"/>
  <c r="J28" i="82"/>
  <c r="K16" i="49"/>
  <c r="D16" i="49"/>
  <c r="E16" i="82"/>
  <c r="J29" i="82"/>
  <c r="J33" i="82"/>
  <c r="J47" i="84" l="1"/>
  <c r="P33" i="84"/>
  <c r="L40" i="84"/>
  <c r="R33" i="84"/>
  <c r="N47" i="84"/>
  <c r="D47" i="84"/>
  <c r="R40" i="84"/>
  <c r="G47" i="84"/>
  <c r="Q40" i="84"/>
  <c r="R47" i="84"/>
  <c r="K40" i="84"/>
  <c r="F40" i="84"/>
  <c r="O33" i="84"/>
  <c r="D40" i="84"/>
  <c r="J33" i="84"/>
  <c r="N33" i="84"/>
  <c r="K33" i="84"/>
  <c r="M40" i="84"/>
  <c r="Q33" i="84"/>
  <c r="M47" i="84"/>
  <c r="E33" i="84"/>
  <c r="I33" i="84"/>
  <c r="E47" i="84"/>
  <c r="O40" i="84"/>
  <c r="D33" i="84"/>
  <c r="Q47" i="84"/>
  <c r="M33" i="84"/>
  <c r="F47" i="84"/>
  <c r="P40" i="84"/>
  <c r="P47" i="84"/>
  <c r="N40" i="84"/>
  <c r="G33" i="84"/>
  <c r="O47" i="84"/>
  <c r="I40" i="84"/>
  <c r="F33" i="84"/>
  <c r="G40" i="84"/>
  <c r="L33" i="84"/>
  <c r="I47" i="84"/>
  <c r="L47" i="84"/>
  <c r="J40" i="84"/>
  <c r="K47" i="84"/>
  <c r="E40" i="84"/>
  <c r="J40" i="82"/>
  <c r="J48" i="82"/>
  <c r="J41" i="82"/>
  <c r="J49" i="82"/>
  <c r="J42" i="82"/>
  <c r="J50" i="82"/>
  <c r="J43" i="82"/>
  <c r="J44" i="82"/>
  <c r="J46" i="82"/>
  <c r="J47" i="82"/>
  <c r="J38" i="82"/>
  <c r="J32" i="82"/>
  <c r="J17" i="82"/>
  <c r="E15" i="49"/>
  <c r="F15" i="49"/>
  <c r="G15" i="49"/>
  <c r="H15" i="49"/>
  <c r="I15" i="49"/>
  <c r="J15" i="49"/>
  <c r="K15" i="49"/>
  <c r="D15" i="49"/>
  <c r="H47" i="84" l="1"/>
  <c r="H40" i="84"/>
  <c r="H33" i="84"/>
  <c r="J51" i="82"/>
  <c r="J45" i="82"/>
  <c r="E15" i="82"/>
  <c r="F15" i="82"/>
  <c r="G15" i="82"/>
  <c r="H15" i="82"/>
  <c r="I15" i="82"/>
  <c r="D15" i="82"/>
  <c r="K15" i="82" s="1"/>
  <c r="E15" i="81" l="1"/>
  <c r="F15" i="81"/>
  <c r="G15" i="81"/>
  <c r="H15" i="81"/>
  <c r="I15" i="81"/>
  <c r="J15" i="81"/>
  <c r="K15" i="81"/>
  <c r="L15" i="81"/>
  <c r="D15" i="81"/>
  <c r="C74" i="49" l="1"/>
  <c r="C71" i="49"/>
  <c r="C48" i="49"/>
  <c r="F27" i="78"/>
  <c r="G27" i="78"/>
  <c r="H27" i="78"/>
  <c r="D27" i="78"/>
  <c r="E27" i="78"/>
  <c r="C65" i="81" l="1"/>
  <c r="C44" i="81"/>
  <c r="D39" i="81"/>
  <c r="L71" i="49" l="1"/>
  <c r="L64" i="49"/>
  <c r="L47" i="49"/>
  <c r="G37" i="49"/>
  <c r="D37" i="49"/>
  <c r="H39" i="49"/>
  <c r="E28" i="49"/>
  <c r="H40" i="49"/>
  <c r="F34" i="49"/>
  <c r="H42" i="49"/>
  <c r="E33" i="49"/>
  <c r="F40" i="49"/>
  <c r="I38" i="49"/>
  <c r="I46" i="49"/>
  <c r="K43" i="49"/>
  <c r="K45" i="49"/>
  <c r="G33" i="49"/>
  <c r="J27" i="49"/>
  <c r="E30" i="49"/>
  <c r="G38" i="49"/>
  <c r="I42" i="49"/>
  <c r="F46" i="49"/>
  <c r="D35" i="49"/>
  <c r="I33" i="49"/>
  <c r="I44" i="49"/>
  <c r="J33" i="49"/>
  <c r="K44" i="49"/>
  <c r="K46" i="49"/>
  <c r="F30" i="49"/>
  <c r="F38" i="49"/>
  <c r="J44" i="49"/>
  <c r="E34" i="49"/>
  <c r="K42" i="49"/>
  <c r="J34" i="49"/>
  <c r="D33" i="49"/>
  <c r="E29" i="49"/>
  <c r="K29" i="49"/>
  <c r="J35" i="49"/>
  <c r="D29" i="82"/>
  <c r="K33" i="49"/>
  <c r="E38" i="49"/>
  <c r="G42" i="49"/>
  <c r="K34" i="49"/>
  <c r="G46" i="49"/>
  <c r="G44" i="49"/>
  <c r="J28" i="49"/>
  <c r="G31" i="49"/>
  <c r="E44" i="49"/>
  <c r="E43" i="49"/>
  <c r="D28" i="49"/>
  <c r="D40" i="49"/>
  <c r="H38" i="49"/>
  <c r="G27" i="49"/>
  <c r="I29" i="49"/>
  <c r="H34" i="49"/>
  <c r="D28" i="82"/>
  <c r="I30" i="49"/>
  <c r="J46" i="49"/>
  <c r="F27" i="49"/>
  <c r="I39" i="49"/>
  <c r="F35" i="49"/>
  <c r="H28" i="49"/>
  <c r="G43" i="49"/>
  <c r="G30" i="49"/>
  <c r="G45" i="49"/>
  <c r="H43" i="49"/>
  <c r="D39" i="49"/>
  <c r="J45" i="49"/>
  <c r="J42" i="49"/>
  <c r="F42" i="49"/>
  <c r="H31" i="49"/>
  <c r="D46" i="49"/>
  <c r="I40" i="49"/>
  <c r="J43" i="49"/>
  <c r="D29" i="49"/>
  <c r="H46" i="49"/>
  <c r="J40" i="49"/>
  <c r="H45" i="49"/>
  <c r="E27" i="49"/>
  <c r="F43" i="49"/>
  <c r="E37" i="49"/>
  <c r="G35" i="49"/>
  <c r="K28" i="49"/>
  <c r="D31" i="49"/>
  <c r="K30" i="49"/>
  <c r="I45" i="49"/>
  <c r="F44" i="49"/>
  <c r="K27" i="49"/>
  <c r="H30" i="49"/>
  <c r="J30" i="49"/>
  <c r="F37" i="49"/>
  <c r="F28" i="49"/>
  <c r="I28" i="49"/>
  <c r="I34" i="49"/>
  <c r="F39" i="49"/>
  <c r="D27" i="82"/>
  <c r="E46" i="49"/>
  <c r="F29" i="49"/>
  <c r="H33" i="49"/>
  <c r="D38" i="49"/>
  <c r="D27" i="49"/>
  <c r="J37" i="49"/>
  <c r="G29" i="49"/>
  <c r="E40" i="49"/>
  <c r="J38" i="49"/>
  <c r="D30" i="49"/>
  <c r="F45" i="49"/>
  <c r="J31" i="49"/>
  <c r="E35" i="49"/>
  <c r="D43" i="49"/>
  <c r="D44" i="49"/>
  <c r="K35" i="49"/>
  <c r="J29" i="49"/>
  <c r="K38" i="49"/>
  <c r="K31" i="49"/>
  <c r="H27" i="49"/>
  <c r="K39" i="49"/>
  <c r="J39" i="49"/>
  <c r="H37" i="49"/>
  <c r="K40" i="49"/>
  <c r="H29" i="49"/>
  <c r="D34" i="49"/>
  <c r="I31" i="49"/>
  <c r="G40" i="49"/>
  <c r="D45" i="49"/>
  <c r="I37" i="49"/>
  <c r="F31" i="49"/>
  <c r="H44" i="49"/>
  <c r="F33" i="49"/>
  <c r="G28" i="49"/>
  <c r="E45" i="49"/>
  <c r="E39" i="49"/>
  <c r="E31" i="49"/>
  <c r="D42" i="49"/>
  <c r="I27" i="49"/>
  <c r="G34" i="49"/>
  <c r="E42" i="49"/>
  <c r="I43" i="49"/>
  <c r="H35" i="49"/>
  <c r="G39" i="49"/>
  <c r="K37" i="49"/>
  <c r="I35" i="49"/>
  <c r="L35" i="49" l="1"/>
  <c r="L28" i="49"/>
  <c r="G36" i="49"/>
  <c r="K41" i="49"/>
  <c r="J41" i="49"/>
  <c r="F32" i="49"/>
  <c r="L29" i="49"/>
  <c r="H36" i="49"/>
  <c r="D41" i="49"/>
  <c r="L37" i="49"/>
  <c r="L43" i="49"/>
  <c r="G32" i="49"/>
  <c r="L30" i="49"/>
  <c r="I36" i="49"/>
  <c r="E41" i="49"/>
  <c r="L38" i="49"/>
  <c r="H32" i="49"/>
  <c r="L31" i="49"/>
  <c r="J36" i="49"/>
  <c r="F41" i="49"/>
  <c r="L39" i="49"/>
  <c r="L44" i="49"/>
  <c r="I32" i="49"/>
  <c r="K36" i="49"/>
  <c r="G41" i="49"/>
  <c r="L40" i="49"/>
  <c r="L45" i="49"/>
  <c r="J32" i="49"/>
  <c r="L33" i="49"/>
  <c r="D36" i="49"/>
  <c r="H41" i="49"/>
  <c r="L46" i="49"/>
  <c r="L27" i="49"/>
  <c r="D32" i="49"/>
  <c r="F36" i="49"/>
  <c r="E32" i="49"/>
  <c r="K32" i="49"/>
  <c r="E36" i="49"/>
  <c r="L34" i="49"/>
  <c r="I41" i="49"/>
  <c r="L42" i="49"/>
  <c r="F48" i="49" l="1"/>
  <c r="I48" i="49"/>
  <c r="K48" i="49"/>
  <c r="D48" i="49"/>
  <c r="J48" i="49"/>
  <c r="E48" i="49"/>
  <c r="G48" i="49"/>
  <c r="H48" i="49"/>
  <c r="L32" i="49"/>
  <c r="L41" i="49"/>
  <c r="L36" i="49"/>
  <c r="L48" i="49" l="1"/>
  <c r="D33" i="82"/>
  <c r="D37" i="82"/>
  <c r="D36" i="82"/>
  <c r="D34" i="82"/>
  <c r="D35" i="82"/>
  <c r="E28" i="78"/>
  <c r="D38" i="82" l="1"/>
  <c r="E39" i="78"/>
  <c r="E38" i="78"/>
  <c r="C65" i="78" l="1"/>
  <c r="D39" i="78"/>
  <c r="C44" i="78" l="1"/>
  <c r="L13" i="49" l="1"/>
  <c r="C15" i="82"/>
  <c r="K22" i="49"/>
  <c r="K66" i="49" l="1"/>
  <c r="K57" i="49"/>
  <c r="K67" i="49"/>
  <c r="K65" i="49"/>
  <c r="K56" i="49"/>
  <c r="K73" i="49"/>
  <c r="K63" i="49"/>
  <c r="K62" i="49"/>
  <c r="K69" i="49"/>
  <c r="K61" i="49"/>
  <c r="K58" i="49"/>
  <c r="K68" i="49"/>
  <c r="K60" i="49"/>
  <c r="C15" i="49"/>
  <c r="K23" i="49"/>
  <c r="K74" i="49" s="1"/>
  <c r="K17" i="49"/>
  <c r="K44" i="78"/>
  <c r="K28" i="78"/>
  <c r="K29" i="78"/>
  <c r="K30" i="78"/>
  <c r="K31" i="78"/>
  <c r="K32" i="78"/>
  <c r="K33" i="78"/>
  <c r="K34" i="78"/>
  <c r="K35" i="78"/>
  <c r="K36" i="78"/>
  <c r="K37" i="78"/>
  <c r="K38" i="78"/>
  <c r="K40" i="78"/>
  <c r="K41" i="78"/>
  <c r="K42" i="78"/>
  <c r="K43" i="78"/>
  <c r="K27" i="78"/>
  <c r="D35" i="78"/>
  <c r="E33" i="78"/>
  <c r="K59" i="49" l="1"/>
  <c r="K70" i="49"/>
  <c r="I13" i="78"/>
  <c r="F15" i="78" l="1"/>
  <c r="H15" i="78"/>
  <c r="E15" i="78"/>
  <c r="G15" i="78"/>
  <c r="C15" i="78"/>
  <c r="D15" i="78"/>
  <c r="O28" i="81"/>
  <c r="O29" i="81"/>
  <c r="O30" i="81"/>
  <c r="O31" i="81"/>
  <c r="O32" i="81"/>
  <c r="O33" i="81"/>
  <c r="O34" i="81"/>
  <c r="O35" i="81"/>
  <c r="O36" i="81"/>
  <c r="O37" i="81"/>
  <c r="O38" i="81"/>
  <c r="O40" i="81"/>
  <c r="O41" i="81"/>
  <c r="O42" i="81"/>
  <c r="O43" i="81"/>
  <c r="O27" i="81"/>
  <c r="I18" i="78" l="1"/>
  <c r="I15" i="78"/>
  <c r="B5" i="78"/>
  <c r="E22" i="78"/>
  <c r="E16" i="78"/>
  <c r="E58" i="78" l="1"/>
  <c r="E46" i="78"/>
  <c r="F28" i="84" l="1"/>
  <c r="F48" i="84" s="1"/>
  <c r="E28" i="84" l="1"/>
  <c r="E48" i="84" s="1"/>
  <c r="D28" i="84"/>
  <c r="D48" i="84" s="1"/>
  <c r="D19" i="84"/>
  <c r="D21" i="84" s="1"/>
  <c r="B5" i="82"/>
  <c r="D51" i="84" l="1"/>
  <c r="G28" i="84"/>
  <c r="G48" i="84" s="1"/>
  <c r="G19" i="84"/>
  <c r="G21" i="84" s="1"/>
  <c r="G51" i="84" l="1"/>
  <c r="I28" i="84"/>
  <c r="I48" i="84" s="1"/>
  <c r="H28" i="84"/>
  <c r="H48" i="84" s="1"/>
  <c r="J28" i="84" l="1"/>
  <c r="J48" i="84" s="1"/>
  <c r="J19" i="84"/>
  <c r="J21" i="84" s="1"/>
  <c r="J51" i="84" l="1"/>
  <c r="K28" i="84"/>
  <c r="K48" i="84" s="1"/>
  <c r="L28" i="84" l="1"/>
  <c r="L48" i="84" s="1"/>
  <c r="M28" i="84" l="1"/>
  <c r="M48" i="84" s="1"/>
  <c r="M19" i="84"/>
  <c r="M21" i="84" s="1"/>
  <c r="B7" i="84"/>
  <c r="M51" i="84" l="1"/>
  <c r="N28" i="84"/>
  <c r="N48" i="84" s="1"/>
  <c r="O28" i="84" l="1"/>
  <c r="O48" i="84" s="1"/>
  <c r="P19" i="84"/>
  <c r="P21" i="84" s="1"/>
  <c r="P28" i="84" l="1"/>
  <c r="P48" i="84" s="1"/>
  <c r="M13" i="81"/>
  <c r="F11" i="78"/>
  <c r="F38" i="78"/>
  <c r="F22" i="78"/>
  <c r="F39" i="78"/>
  <c r="F34" i="78"/>
  <c r="F16" i="78"/>
  <c r="P51" i="84" l="1"/>
  <c r="F58" i="78"/>
  <c r="C15" i="81"/>
  <c r="F23" i="78"/>
  <c r="F17" i="78"/>
  <c r="D18" i="81" l="1"/>
  <c r="M15" i="81"/>
  <c r="E29" i="78"/>
  <c r="F31" i="78"/>
  <c r="I22" i="78"/>
  <c r="D34" i="78"/>
  <c r="E30" i="78"/>
  <c r="D16" i="78"/>
  <c r="D40" i="78"/>
  <c r="E34" i="78"/>
  <c r="E41" i="78"/>
  <c r="D42" i="78"/>
  <c r="D22" i="78"/>
  <c r="E35" i="78"/>
  <c r="D29" i="78"/>
  <c r="E40" i="78"/>
  <c r="D31" i="78"/>
  <c r="E37" i="78"/>
  <c r="E31" i="78"/>
  <c r="D38" i="78"/>
  <c r="D33" i="78"/>
  <c r="D28" i="78"/>
  <c r="F28" i="78"/>
  <c r="E42" i="78"/>
  <c r="D41" i="78"/>
  <c r="D37" i="78"/>
  <c r="D30" i="78"/>
  <c r="Q28" i="84" l="1"/>
  <c r="Q48" i="84" s="1"/>
  <c r="E61" i="78"/>
  <c r="D60" i="78"/>
  <c r="D61" i="78"/>
  <c r="D58" i="78"/>
  <c r="F19" i="78"/>
  <c r="F25" i="78" s="1"/>
  <c r="E19" i="78"/>
  <c r="D19" i="78"/>
  <c r="E23" i="78"/>
  <c r="D23" i="78"/>
  <c r="D18" i="82"/>
  <c r="E43" i="78"/>
  <c r="E32" i="78"/>
  <c r="E51" i="78" s="1"/>
  <c r="E49" i="78"/>
  <c r="E48" i="78"/>
  <c r="E47" i="78"/>
  <c r="F47" i="78"/>
  <c r="F46" i="78"/>
  <c r="F50" i="78"/>
  <c r="E50" i="78"/>
  <c r="D47" i="78"/>
  <c r="D48" i="78"/>
  <c r="D49" i="78"/>
  <c r="D50" i="78"/>
  <c r="D46" i="78"/>
  <c r="B5" i="81"/>
  <c r="E11" i="81"/>
  <c r="D36" i="78"/>
  <c r="D43" i="78"/>
  <c r="D17" i="78"/>
  <c r="E17" i="78"/>
  <c r="D56" i="78"/>
  <c r="D62" i="78"/>
  <c r="D59" i="78"/>
  <c r="D54" i="78"/>
  <c r="D52" i="78"/>
  <c r="D57" i="78"/>
  <c r="D53" i="78"/>
  <c r="E56" i="78"/>
  <c r="E53" i="78"/>
  <c r="E62" i="78"/>
  <c r="E52" i="78"/>
  <c r="E59" i="78"/>
  <c r="E54" i="78"/>
  <c r="E60" i="78"/>
  <c r="E57" i="78"/>
  <c r="D32" i="78"/>
  <c r="E36" i="78"/>
  <c r="E55" i="78" s="1"/>
  <c r="G11" i="78"/>
  <c r="D38" i="81"/>
  <c r="D27" i="81"/>
  <c r="D42" i="81"/>
  <c r="G22" i="78"/>
  <c r="D29" i="81"/>
  <c r="D35" i="81"/>
  <c r="D30" i="81"/>
  <c r="D37" i="81"/>
  <c r="F35" i="78"/>
  <c r="D28" i="81"/>
  <c r="G39" i="78"/>
  <c r="G16" i="78"/>
  <c r="D31" i="81"/>
  <c r="F29" i="78"/>
  <c r="F41" i="78"/>
  <c r="F40" i="78"/>
  <c r="F33" i="78"/>
  <c r="D40" i="81"/>
  <c r="E39" i="81"/>
  <c r="G38" i="78"/>
  <c r="F37" i="78"/>
  <c r="F30" i="78"/>
  <c r="F42" i="78"/>
  <c r="D34" i="81"/>
  <c r="D22" i="81"/>
  <c r="R28" i="84" l="1"/>
  <c r="R48" i="84" s="1"/>
  <c r="F61" i="78"/>
  <c r="D58" i="81"/>
  <c r="D61" i="81"/>
  <c r="G58" i="78"/>
  <c r="D44" i="78"/>
  <c r="E44" i="78"/>
  <c r="E64" i="78" s="1"/>
  <c r="G23" i="78"/>
  <c r="G19" i="78"/>
  <c r="E25" i="78"/>
  <c r="M18" i="81"/>
  <c r="D32" i="81"/>
  <c r="D18" i="78"/>
  <c r="E18" i="78" s="1"/>
  <c r="F18" i="78" s="1"/>
  <c r="F20" i="78" s="1"/>
  <c r="F43" i="78"/>
  <c r="F36" i="78"/>
  <c r="F55" i="78" s="1"/>
  <c r="F32" i="78"/>
  <c r="F51" i="78" s="1"/>
  <c r="D51" i="78"/>
  <c r="D55" i="78"/>
  <c r="F49" i="78"/>
  <c r="F48" i="78"/>
  <c r="D56" i="81"/>
  <c r="D59" i="81"/>
  <c r="D62" i="81"/>
  <c r="D57" i="81"/>
  <c r="D54" i="81"/>
  <c r="D53" i="81"/>
  <c r="D23" i="81"/>
  <c r="F11" i="81"/>
  <c r="F53" i="78"/>
  <c r="F59" i="78"/>
  <c r="F57" i="78"/>
  <c r="F54" i="78"/>
  <c r="F56" i="78"/>
  <c r="F52" i="78"/>
  <c r="F62" i="78"/>
  <c r="F60" i="78"/>
  <c r="H11" i="78"/>
  <c r="D25" i="78"/>
  <c r="E33" i="81"/>
  <c r="E22" i="81"/>
  <c r="E34" i="81"/>
  <c r="H39" i="78"/>
  <c r="E35" i="81"/>
  <c r="G40" i="78"/>
  <c r="E29" i="81"/>
  <c r="D33" i="81"/>
  <c r="H16" i="78"/>
  <c r="F39" i="81"/>
  <c r="H22" i="78"/>
  <c r="H38" i="78"/>
  <c r="E20" i="78" l="1"/>
  <c r="I39" i="78"/>
  <c r="E58" i="81"/>
  <c r="H58" i="78"/>
  <c r="I58" i="78" s="1"/>
  <c r="F44" i="78"/>
  <c r="D20" i="78"/>
  <c r="H23" i="78"/>
  <c r="H19" i="78"/>
  <c r="I16" i="78"/>
  <c r="I17" i="78" s="1"/>
  <c r="I19" i="78"/>
  <c r="G18" i="78"/>
  <c r="E36" i="81"/>
  <c r="D36" i="81"/>
  <c r="D64" i="78"/>
  <c r="D16" i="81"/>
  <c r="G30" i="78"/>
  <c r="G35" i="78"/>
  <c r="E42" i="81"/>
  <c r="E31" i="81"/>
  <c r="G37" i="78"/>
  <c r="E28" i="81"/>
  <c r="G28" i="78"/>
  <c r="E41" i="81"/>
  <c r="G41" i="78"/>
  <c r="E38" i="81"/>
  <c r="E27" i="81"/>
  <c r="E37" i="81"/>
  <c r="E30" i="81"/>
  <c r="G34" i="78"/>
  <c r="G31" i="78"/>
  <c r="E16" i="81"/>
  <c r="G42" i="78"/>
  <c r="D41" i="81"/>
  <c r="G29" i="78"/>
  <c r="G61" i="78" l="1"/>
  <c r="E57" i="81"/>
  <c r="E61" i="81"/>
  <c r="I20" i="78"/>
  <c r="D47" i="81"/>
  <c r="D46" i="81"/>
  <c r="D43" i="81"/>
  <c r="D44" i="81" s="1"/>
  <c r="E32" i="81"/>
  <c r="G43" i="78"/>
  <c r="G32" i="78"/>
  <c r="D51" i="81"/>
  <c r="E50" i="81"/>
  <c r="D50" i="81"/>
  <c r="E49" i="81"/>
  <c r="D49" i="81"/>
  <c r="E48" i="81"/>
  <c r="D48" i="81"/>
  <c r="E47" i="81"/>
  <c r="E46" i="81"/>
  <c r="G49" i="78"/>
  <c r="G48" i="78"/>
  <c r="G47" i="78"/>
  <c r="G46" i="78"/>
  <c r="G50" i="78"/>
  <c r="D60" i="81"/>
  <c r="D19" i="81"/>
  <c r="D17" i="81"/>
  <c r="D52" i="81"/>
  <c r="E55" i="81"/>
  <c r="E53" i="81"/>
  <c r="E62" i="81"/>
  <c r="E52" i="81"/>
  <c r="E56" i="81"/>
  <c r="E23" i="81"/>
  <c r="E60" i="81"/>
  <c r="E54" i="81"/>
  <c r="E19" i="81"/>
  <c r="E17" i="81"/>
  <c r="G11" i="81"/>
  <c r="G59" i="78"/>
  <c r="G54" i="78"/>
  <c r="G56" i="78"/>
  <c r="G57" i="78"/>
  <c r="G53" i="78"/>
  <c r="G62" i="78"/>
  <c r="G60" i="78"/>
  <c r="G25" i="78"/>
  <c r="G17" i="78"/>
  <c r="E65" i="78"/>
  <c r="H18" i="78"/>
  <c r="D65" i="78"/>
  <c r="G28" i="81"/>
  <c r="G39" i="81"/>
  <c r="G27" i="81"/>
  <c r="G33" i="78"/>
  <c r="E51" i="81" l="1"/>
  <c r="D55" i="81"/>
  <c r="D25" i="81"/>
  <c r="G36" i="78"/>
  <c r="G44" i="78" s="1"/>
  <c r="F64" i="78"/>
  <c r="G51" i="78"/>
  <c r="F34" i="81"/>
  <c r="E40" i="81"/>
  <c r="E43" i="81" l="1"/>
  <c r="E44" i="81" s="1"/>
  <c r="G52" i="78"/>
  <c r="H37" i="78"/>
  <c r="L37" i="78" l="1"/>
  <c r="I37" i="78"/>
  <c r="G55" i="78"/>
  <c r="E59" i="81" l="1"/>
  <c r="H35" i="78"/>
  <c r="H28" i="78"/>
  <c r="F42" i="81"/>
  <c r="F41" i="81"/>
  <c r="H30" i="78"/>
  <c r="F38" i="81"/>
  <c r="H29" i="78"/>
  <c r="F29" i="81"/>
  <c r="H42" i="78"/>
  <c r="F22" i="81"/>
  <c r="H41" i="78"/>
  <c r="F40" i="81"/>
  <c r="F33" i="81"/>
  <c r="H31" i="78"/>
  <c r="F37" i="81"/>
  <c r="F35" i="81"/>
  <c r="F27" i="81"/>
  <c r="H34" i="78"/>
  <c r="H33" i="78"/>
  <c r="F30" i="81"/>
  <c r="F31" i="81"/>
  <c r="H61" i="78" l="1"/>
  <c r="I61" i="78" s="1"/>
  <c r="F58" i="81"/>
  <c r="F57" i="81"/>
  <c r="F61" i="81"/>
  <c r="L42" i="78"/>
  <c r="L30" i="78"/>
  <c r="L35" i="78"/>
  <c r="L29" i="78"/>
  <c r="L34" i="78"/>
  <c r="L28" i="78"/>
  <c r="L33" i="78"/>
  <c r="L31" i="78"/>
  <c r="L41" i="78"/>
  <c r="L38" i="78"/>
  <c r="L27" i="78"/>
  <c r="F43" i="81"/>
  <c r="F36" i="81"/>
  <c r="H36" i="78"/>
  <c r="L36" i="78" s="1"/>
  <c r="H32" i="78"/>
  <c r="L32" i="78" s="1"/>
  <c r="I31" i="78"/>
  <c r="I35" i="78"/>
  <c r="I34" i="78"/>
  <c r="I33" i="78"/>
  <c r="I29" i="78"/>
  <c r="I42" i="78"/>
  <c r="I41" i="78"/>
  <c r="I38" i="78"/>
  <c r="I30" i="78"/>
  <c r="I28" i="78"/>
  <c r="I27" i="78"/>
  <c r="F16" i="81"/>
  <c r="H40" i="78"/>
  <c r="I40" i="78" l="1"/>
  <c r="L40" i="78"/>
  <c r="H43" i="78"/>
  <c r="H44" i="78" s="1"/>
  <c r="F50" i="81"/>
  <c r="F49" i="81"/>
  <c r="F48" i="81"/>
  <c r="F46" i="81"/>
  <c r="H49" i="78"/>
  <c r="I49" i="78" s="1"/>
  <c r="H48" i="78"/>
  <c r="I48" i="78" s="1"/>
  <c r="H47" i="78"/>
  <c r="I47" i="78" s="1"/>
  <c r="H46" i="78"/>
  <c r="I46" i="78" s="1"/>
  <c r="H50" i="78"/>
  <c r="I50" i="78" s="1"/>
  <c r="E64" i="81"/>
  <c r="F17" i="81"/>
  <c r="F19" i="81"/>
  <c r="F59" i="81"/>
  <c r="F62" i="81"/>
  <c r="F52" i="81"/>
  <c r="F54" i="81"/>
  <c r="F53" i="81"/>
  <c r="F60" i="81"/>
  <c r="F23" i="81"/>
  <c r="F56" i="81"/>
  <c r="H11" i="81"/>
  <c r="E18" i="81"/>
  <c r="D20" i="81"/>
  <c r="E25" i="81"/>
  <c r="H62" i="78"/>
  <c r="I62" i="78" s="1"/>
  <c r="H52" i="78"/>
  <c r="I52" i="78" s="1"/>
  <c r="H60" i="78"/>
  <c r="I60" i="78" s="1"/>
  <c r="H53" i="78"/>
  <c r="I53" i="78" s="1"/>
  <c r="H57" i="78"/>
  <c r="I57" i="78" s="1"/>
  <c r="H56" i="78"/>
  <c r="I56" i="78" s="1"/>
  <c r="H59" i="78"/>
  <c r="I59" i="78" s="1"/>
  <c r="H54" i="78"/>
  <c r="I54" i="78" s="1"/>
  <c r="H17" i="78"/>
  <c r="F65" i="78"/>
  <c r="G20" i="78"/>
  <c r="G16" i="81"/>
  <c r="G34" i="81"/>
  <c r="F28" i="81"/>
  <c r="G29" i="81"/>
  <c r="H39" i="81"/>
  <c r="L44" i="78" l="1"/>
  <c r="L43" i="78"/>
  <c r="I43" i="78"/>
  <c r="F32" i="81"/>
  <c r="F44" i="81" s="1"/>
  <c r="F55" i="81"/>
  <c r="D64" i="81"/>
  <c r="H25" i="78"/>
  <c r="H55" i="78"/>
  <c r="I55" i="78" s="1"/>
  <c r="I36" i="78"/>
  <c r="G64" i="78"/>
  <c r="H51" i="78"/>
  <c r="I51" i="78" s="1"/>
  <c r="I32" i="78"/>
  <c r="F47" i="81"/>
  <c r="G38" i="81"/>
  <c r="G42" i="81"/>
  <c r="G40" i="81"/>
  <c r="G41" i="81"/>
  <c r="G35" i="81"/>
  <c r="G37" i="81"/>
  <c r="G33" i="81"/>
  <c r="G30" i="81"/>
  <c r="G31" i="81"/>
  <c r="G22" i="81"/>
  <c r="G58" i="81" l="1"/>
  <c r="G57" i="81"/>
  <c r="G61" i="81"/>
  <c r="G43" i="81"/>
  <c r="G36" i="81"/>
  <c r="G32" i="81"/>
  <c r="F51" i="81"/>
  <c r="G50" i="81"/>
  <c r="G49" i="81"/>
  <c r="G48" i="81"/>
  <c r="G47" i="81"/>
  <c r="G46" i="81"/>
  <c r="D65" i="81"/>
  <c r="E65" i="81"/>
  <c r="G19" i="81"/>
  <c r="G17" i="81"/>
  <c r="G54" i="81"/>
  <c r="G60" i="81"/>
  <c r="G59" i="81"/>
  <c r="G56" i="81"/>
  <c r="G52" i="81"/>
  <c r="G53" i="81"/>
  <c r="G62" i="81"/>
  <c r="G23" i="81"/>
  <c r="F18" i="81"/>
  <c r="F25" i="81"/>
  <c r="E20" i="81"/>
  <c r="I11" i="81"/>
  <c r="G65" i="78"/>
  <c r="H20" i="78"/>
  <c r="I39" i="81"/>
  <c r="H40" i="81"/>
  <c r="H42" i="81"/>
  <c r="H34" i="81"/>
  <c r="H31" i="81"/>
  <c r="H22" i="81"/>
  <c r="H41" i="81"/>
  <c r="H27" i="81"/>
  <c r="H29" i="81"/>
  <c r="H35" i="81"/>
  <c r="H16" i="81"/>
  <c r="H28" i="81"/>
  <c r="H38" i="81"/>
  <c r="H58" i="81" l="1"/>
  <c r="H57" i="81"/>
  <c r="H61" i="81"/>
  <c r="G44" i="81"/>
  <c r="G51" i="81"/>
  <c r="F20" i="81"/>
  <c r="F64" i="81"/>
  <c r="G55" i="81"/>
  <c r="H64" i="78"/>
  <c r="I44" i="78"/>
  <c r="H50" i="81"/>
  <c r="H48" i="81"/>
  <c r="H47" i="81"/>
  <c r="H46" i="81"/>
  <c r="F65" i="81"/>
  <c r="H62" i="81"/>
  <c r="H54" i="81"/>
  <c r="H60" i="81"/>
  <c r="H53" i="81"/>
  <c r="H59" i="81"/>
  <c r="H23" i="81"/>
  <c r="H17" i="81"/>
  <c r="H19" i="81"/>
  <c r="G25" i="81"/>
  <c r="J11" i="81"/>
  <c r="G18" i="81"/>
  <c r="H65" i="78"/>
  <c r="H37" i="81"/>
  <c r="J39" i="81"/>
  <c r="H33" i="81"/>
  <c r="H30" i="81"/>
  <c r="G64" i="81" l="1"/>
  <c r="H43" i="81"/>
  <c r="H36" i="81"/>
  <c r="H32" i="81"/>
  <c r="H49" i="81"/>
  <c r="H56" i="81"/>
  <c r="H52" i="81"/>
  <c r="I37" i="81"/>
  <c r="I27" i="81"/>
  <c r="I42" i="81"/>
  <c r="I28" i="81"/>
  <c r="I38" i="81"/>
  <c r="I29" i="81"/>
  <c r="I34" i="81"/>
  <c r="I41" i="81"/>
  <c r="I33" i="81"/>
  <c r="I35" i="81"/>
  <c r="I30" i="81"/>
  <c r="I16" i="81"/>
  <c r="I22" i="81"/>
  <c r="I58" i="81" l="1"/>
  <c r="I57" i="81"/>
  <c r="I61" i="81"/>
  <c r="H44" i="81"/>
  <c r="H51" i="81"/>
  <c r="I36" i="81"/>
  <c r="I55" i="81" s="1"/>
  <c r="H55" i="81"/>
  <c r="I49" i="81"/>
  <c r="I48" i="81"/>
  <c r="I47" i="81"/>
  <c r="I46" i="81"/>
  <c r="G65" i="81"/>
  <c r="I60" i="81"/>
  <c r="I56" i="81"/>
  <c r="I23" i="81"/>
  <c r="I53" i="81"/>
  <c r="I62" i="81"/>
  <c r="I52" i="81"/>
  <c r="I54" i="81"/>
  <c r="I17" i="81"/>
  <c r="I19" i="81"/>
  <c r="H25" i="81"/>
  <c r="K11" i="81"/>
  <c r="H18" i="81"/>
  <c r="G20" i="81"/>
  <c r="I31" i="81"/>
  <c r="I40" i="81"/>
  <c r="K39" i="81"/>
  <c r="I43" i="81" l="1"/>
  <c r="I32" i="81"/>
  <c r="H64" i="81"/>
  <c r="I50" i="81"/>
  <c r="I59" i="81"/>
  <c r="J28" i="81"/>
  <c r="J40" i="81"/>
  <c r="J34" i="81"/>
  <c r="J22" i="81"/>
  <c r="J29" i="81"/>
  <c r="J41" i="81"/>
  <c r="J27" i="81"/>
  <c r="J38" i="81"/>
  <c r="J37" i="81"/>
  <c r="J31" i="81"/>
  <c r="J42" i="81"/>
  <c r="J33" i="81"/>
  <c r="J35" i="81"/>
  <c r="J16" i="81"/>
  <c r="J30" i="81"/>
  <c r="J58" i="81" l="1"/>
  <c r="J57" i="81"/>
  <c r="J61" i="81"/>
  <c r="I44" i="81"/>
  <c r="I51" i="81"/>
  <c r="J43" i="81"/>
  <c r="J36" i="81"/>
  <c r="J55" i="81" s="1"/>
  <c r="J32" i="81"/>
  <c r="J51" i="81" s="1"/>
  <c r="J50" i="81"/>
  <c r="J49" i="81"/>
  <c r="J48" i="81"/>
  <c r="J47" i="81"/>
  <c r="J46" i="81"/>
  <c r="H65" i="81"/>
  <c r="J19" i="81"/>
  <c r="J17" i="81"/>
  <c r="J54" i="81"/>
  <c r="J56" i="81"/>
  <c r="J53" i="81"/>
  <c r="J59" i="81"/>
  <c r="J62" i="81"/>
  <c r="J60" i="81"/>
  <c r="J52" i="81"/>
  <c r="J23" i="81"/>
  <c r="I18" i="81"/>
  <c r="I20" i="81" s="1"/>
  <c r="H20" i="81"/>
  <c r="L11" i="81"/>
  <c r="I25" i="81"/>
  <c r="K31" i="81"/>
  <c r="K41" i="81"/>
  <c r="K27" i="81"/>
  <c r="L39" i="81"/>
  <c r="K37" i="81"/>
  <c r="K38" i="81"/>
  <c r="K16" i="81"/>
  <c r="K40" i="81"/>
  <c r="K29" i="81"/>
  <c r="K35" i="81"/>
  <c r="K22" i="81"/>
  <c r="K30" i="81"/>
  <c r="K33" i="81"/>
  <c r="K34" i="81"/>
  <c r="K42" i="81"/>
  <c r="K58" i="81" l="1"/>
  <c r="K57" i="81"/>
  <c r="M39" i="81"/>
  <c r="K61" i="81"/>
  <c r="J44" i="81"/>
  <c r="J64" i="81" s="1"/>
  <c r="K43" i="81"/>
  <c r="K36" i="81"/>
  <c r="K55" i="81" s="1"/>
  <c r="I64" i="81"/>
  <c r="K50" i="81"/>
  <c r="K49" i="81"/>
  <c r="K48" i="81"/>
  <c r="K46" i="81"/>
  <c r="E11" i="82"/>
  <c r="K60" i="81"/>
  <c r="K53" i="81"/>
  <c r="K59" i="81"/>
  <c r="K54" i="81"/>
  <c r="K62" i="81"/>
  <c r="K23" i="81"/>
  <c r="K56" i="81"/>
  <c r="K52" i="81"/>
  <c r="K17" i="81"/>
  <c r="K19" i="81"/>
  <c r="J18" i="81"/>
  <c r="J20" i="81" s="1"/>
  <c r="I65" i="81"/>
  <c r="J25" i="81"/>
  <c r="E11" i="49"/>
  <c r="E35" i="82"/>
  <c r="D22" i="49"/>
  <c r="E36" i="82"/>
  <c r="E33" i="82"/>
  <c r="E34" i="82"/>
  <c r="K28" i="81"/>
  <c r="D65" i="49" l="1"/>
  <c r="D56" i="49"/>
  <c r="D73" i="49"/>
  <c r="D63" i="49"/>
  <c r="D57" i="49"/>
  <c r="D62" i="49"/>
  <c r="D69" i="49"/>
  <c r="D61" i="49"/>
  <c r="D66" i="49"/>
  <c r="D68" i="49"/>
  <c r="D67" i="49"/>
  <c r="D58" i="49"/>
  <c r="K32" i="81"/>
  <c r="K44" i="81" s="1"/>
  <c r="K47" i="81"/>
  <c r="L37" i="81"/>
  <c r="L42" i="81"/>
  <c r="L16" i="81"/>
  <c r="E37" i="82"/>
  <c r="L29" i="81"/>
  <c r="E38" i="82" l="1"/>
  <c r="L31" i="81"/>
  <c r="L34" i="81"/>
  <c r="L40" i="81"/>
  <c r="L27" i="81"/>
  <c r="L30" i="81"/>
  <c r="L28" i="81"/>
  <c r="L41" i="81"/>
  <c r="L33" i="81"/>
  <c r="L38" i="81"/>
  <c r="L22" i="81"/>
  <c r="L35" i="81"/>
  <c r="D22" i="82"/>
  <c r="D30" i="82"/>
  <c r="L58" i="81" l="1"/>
  <c r="L57" i="81"/>
  <c r="L61" i="81"/>
  <c r="D59" i="49"/>
  <c r="D70" i="49"/>
  <c r="D48" i="82"/>
  <c r="D49" i="82"/>
  <c r="D50" i="82"/>
  <c r="D47" i="82"/>
  <c r="D46" i="82"/>
  <c r="L15" i="49"/>
  <c r="M22" i="81"/>
  <c r="M16" i="81"/>
  <c r="M17" i="81" s="1"/>
  <c r="M41" i="81"/>
  <c r="M38" i="81"/>
  <c r="M34" i="81"/>
  <c r="M40" i="81"/>
  <c r="M37" i="81"/>
  <c r="M33" i="81"/>
  <c r="M42" i="81"/>
  <c r="M35" i="81"/>
  <c r="M28" i="81"/>
  <c r="M31" i="81"/>
  <c r="M30" i="81"/>
  <c r="M29" i="81"/>
  <c r="M27" i="81"/>
  <c r="P41" i="81"/>
  <c r="P38" i="81"/>
  <c r="P34" i="81"/>
  <c r="P28" i="81"/>
  <c r="P40" i="81"/>
  <c r="P37" i="81"/>
  <c r="P31" i="81"/>
  <c r="P33" i="81"/>
  <c r="P30" i="81"/>
  <c r="P42" i="81"/>
  <c r="P29" i="81"/>
  <c r="P35" i="81"/>
  <c r="P27" i="81"/>
  <c r="M23" i="81"/>
  <c r="M19" i="81"/>
  <c r="K51" i="81"/>
  <c r="L43" i="81"/>
  <c r="L36" i="81"/>
  <c r="L32" i="81"/>
  <c r="L50" i="81"/>
  <c r="L49" i="81"/>
  <c r="L48" i="81"/>
  <c r="L47" i="81"/>
  <c r="L46" i="81"/>
  <c r="J65" i="81"/>
  <c r="D17" i="82"/>
  <c r="D19" i="82"/>
  <c r="D40" i="82"/>
  <c r="D42" i="82"/>
  <c r="D41" i="82"/>
  <c r="D43" i="82"/>
  <c r="D23" i="82"/>
  <c r="F11" i="82"/>
  <c r="L56" i="81"/>
  <c r="L59" i="81"/>
  <c r="L62" i="81"/>
  <c r="L52" i="81"/>
  <c r="L60" i="81"/>
  <c r="L54" i="81"/>
  <c r="L53" i="81"/>
  <c r="L23" i="81"/>
  <c r="L19" i="81"/>
  <c r="L17" i="81"/>
  <c r="K18" i="81"/>
  <c r="K20" i="81" s="1"/>
  <c r="K25" i="81"/>
  <c r="K64" i="81"/>
  <c r="D17" i="49"/>
  <c r="F11" i="49"/>
  <c r="F33" i="82"/>
  <c r="F37" i="82"/>
  <c r="F35" i="82"/>
  <c r="D31" i="82"/>
  <c r="F34" i="82"/>
  <c r="F36" i="82"/>
  <c r="M61" i="81" l="1"/>
  <c r="M58" i="81"/>
  <c r="D51" i="82"/>
  <c r="D44" i="82"/>
  <c r="F38" i="82"/>
  <c r="M43" i="81"/>
  <c r="L44" i="81"/>
  <c r="M62" i="81"/>
  <c r="M59" i="81"/>
  <c r="M60" i="81"/>
  <c r="M57" i="81"/>
  <c r="M56" i="81"/>
  <c r="M53" i="81"/>
  <c r="M54" i="81"/>
  <c r="M52" i="81"/>
  <c r="M49" i="81"/>
  <c r="M50" i="81"/>
  <c r="M47" i="81"/>
  <c r="M48" i="81"/>
  <c r="M20" i="81"/>
  <c r="M46" i="81"/>
  <c r="P32" i="81"/>
  <c r="M51" i="81" s="1"/>
  <c r="M32" i="81"/>
  <c r="P36" i="81"/>
  <c r="M55" i="81" s="1"/>
  <c r="M36" i="81"/>
  <c r="P43" i="81"/>
  <c r="D18" i="49"/>
  <c r="L51" i="81"/>
  <c r="L55" i="81"/>
  <c r="D32" i="82"/>
  <c r="E31" i="82"/>
  <c r="E30" i="82"/>
  <c r="E22" i="82"/>
  <c r="E27" i="82"/>
  <c r="E28" i="82"/>
  <c r="E22" i="49"/>
  <c r="E29" i="82"/>
  <c r="D45" i="82" l="1"/>
  <c r="E43" i="82"/>
  <c r="E44" i="82"/>
  <c r="D53" i="49"/>
  <c r="D51" i="49"/>
  <c r="D52" i="49"/>
  <c r="D50" i="49"/>
  <c r="D54" i="49"/>
  <c r="E73" i="49"/>
  <c r="E56" i="49"/>
  <c r="E63" i="49"/>
  <c r="E62" i="49"/>
  <c r="E69" i="49"/>
  <c r="E61" i="49"/>
  <c r="E65" i="49"/>
  <c r="E68" i="49"/>
  <c r="E60" i="49"/>
  <c r="E67" i="49"/>
  <c r="E58" i="49"/>
  <c r="E66" i="49"/>
  <c r="E57" i="49"/>
  <c r="E50" i="82"/>
  <c r="E49" i="82"/>
  <c r="E48" i="82"/>
  <c r="E47" i="82"/>
  <c r="E46" i="82"/>
  <c r="P44" i="81"/>
  <c r="M64" i="81" s="1"/>
  <c r="M44" i="81"/>
  <c r="K65" i="81"/>
  <c r="E40" i="82"/>
  <c r="E41" i="82"/>
  <c r="E23" i="82"/>
  <c r="E42" i="82"/>
  <c r="E32" i="82"/>
  <c r="E19" i="82"/>
  <c r="E17" i="82"/>
  <c r="E18" i="82"/>
  <c r="D20" i="82"/>
  <c r="D25" i="82"/>
  <c r="G11" i="82"/>
  <c r="L25" i="81"/>
  <c r="L18" i="81"/>
  <c r="L20" i="81" s="1"/>
  <c r="D19" i="49"/>
  <c r="D23" i="49"/>
  <c r="D74" i="49" s="1"/>
  <c r="E18" i="49"/>
  <c r="G11" i="49"/>
  <c r="E23" i="49"/>
  <c r="E74" i="49" s="1"/>
  <c r="E19" i="49"/>
  <c r="E17" i="49"/>
  <c r="F27" i="82"/>
  <c r="G34" i="82"/>
  <c r="F22" i="49"/>
  <c r="G35" i="82"/>
  <c r="G33" i="82"/>
  <c r="G37" i="82"/>
  <c r="F28" i="82"/>
  <c r="F31" i="82"/>
  <c r="F30" i="82"/>
  <c r="G36" i="82"/>
  <c r="F29" i="82"/>
  <c r="F22" i="82"/>
  <c r="E51" i="82" l="1"/>
  <c r="E45" i="82"/>
  <c r="F44" i="82"/>
  <c r="F43" i="82"/>
  <c r="G38" i="82"/>
  <c r="F18" i="49"/>
  <c r="E54" i="49"/>
  <c r="E51" i="49"/>
  <c r="E53" i="49"/>
  <c r="E50" i="49"/>
  <c r="E52" i="49"/>
  <c r="D55" i="49"/>
  <c r="F63" i="49"/>
  <c r="F62" i="49"/>
  <c r="F69" i="49"/>
  <c r="F61" i="49"/>
  <c r="F68" i="49"/>
  <c r="F60" i="49"/>
  <c r="F67" i="49"/>
  <c r="F58" i="49"/>
  <c r="F73" i="49"/>
  <c r="F66" i="49"/>
  <c r="F57" i="49"/>
  <c r="F65" i="49"/>
  <c r="F56" i="49"/>
  <c r="E70" i="49"/>
  <c r="E59" i="49"/>
  <c r="F50" i="82"/>
  <c r="F49" i="82"/>
  <c r="F48" i="82"/>
  <c r="F47" i="82"/>
  <c r="F46" i="82"/>
  <c r="D20" i="49"/>
  <c r="D53" i="82"/>
  <c r="L64" i="81"/>
  <c r="D54" i="82"/>
  <c r="F42" i="82"/>
  <c r="F41" i="82"/>
  <c r="F23" i="82"/>
  <c r="F40" i="82"/>
  <c r="F32" i="82"/>
  <c r="F19" i="82"/>
  <c r="F17" i="82"/>
  <c r="E25" i="82"/>
  <c r="E20" i="82"/>
  <c r="F18" i="82"/>
  <c r="E53" i="82"/>
  <c r="H11" i="82"/>
  <c r="L65" i="81"/>
  <c r="D25" i="49"/>
  <c r="E25" i="49"/>
  <c r="E20" i="49"/>
  <c r="H11" i="49"/>
  <c r="F19" i="49"/>
  <c r="F17" i="49"/>
  <c r="F23" i="49"/>
  <c r="F74" i="49" s="1"/>
  <c r="G31" i="82"/>
  <c r="G30" i="82"/>
  <c r="G28" i="82"/>
  <c r="H35" i="82"/>
  <c r="H34" i="82"/>
  <c r="G29" i="82"/>
  <c r="H22" i="49"/>
  <c r="G22" i="82"/>
  <c r="G22" i="49"/>
  <c r="H33" i="82"/>
  <c r="H37" i="82"/>
  <c r="G27" i="82"/>
  <c r="F51" i="82" l="1"/>
  <c r="F45" i="82"/>
  <c r="G43" i="82"/>
  <c r="G44" i="82"/>
  <c r="E55" i="49"/>
  <c r="G18" i="49"/>
  <c r="F53" i="49"/>
  <c r="F50" i="49"/>
  <c r="F52" i="49"/>
  <c r="F54" i="49"/>
  <c r="F51" i="49"/>
  <c r="F59" i="49"/>
  <c r="F70" i="49"/>
  <c r="G62" i="49"/>
  <c r="G69" i="49"/>
  <c r="G61" i="49"/>
  <c r="G68" i="49"/>
  <c r="G60" i="49"/>
  <c r="G67" i="49"/>
  <c r="G58" i="49"/>
  <c r="G66" i="49"/>
  <c r="G57" i="49"/>
  <c r="G65" i="49"/>
  <c r="G56" i="49"/>
  <c r="G73" i="49"/>
  <c r="G63" i="49"/>
  <c r="H69" i="49"/>
  <c r="H61" i="49"/>
  <c r="H68" i="49"/>
  <c r="H60" i="49"/>
  <c r="H67" i="49"/>
  <c r="H58" i="49"/>
  <c r="H66" i="49"/>
  <c r="H57" i="49"/>
  <c r="H65" i="49"/>
  <c r="H56" i="49"/>
  <c r="H62" i="49"/>
  <c r="H73" i="49"/>
  <c r="H63" i="49"/>
  <c r="G50" i="82"/>
  <c r="G49" i="82"/>
  <c r="G48" i="82"/>
  <c r="G47" i="82"/>
  <c r="G46" i="82"/>
  <c r="M65" i="81"/>
  <c r="H23" i="49"/>
  <c r="H74" i="49" s="1"/>
  <c r="E54" i="82"/>
  <c r="G19" i="82"/>
  <c r="G17" i="82"/>
  <c r="G41" i="82"/>
  <c r="G40" i="82"/>
  <c r="G23" i="82"/>
  <c r="G42" i="82"/>
  <c r="G32" i="82"/>
  <c r="G18" i="82"/>
  <c r="I11" i="82"/>
  <c r="F25" i="82"/>
  <c r="F20" i="82"/>
  <c r="F53" i="82"/>
  <c r="F20" i="49"/>
  <c r="F25" i="49"/>
  <c r="G23" i="49"/>
  <c r="G74" i="49" s="1"/>
  <c r="G19" i="49"/>
  <c r="G17" i="49"/>
  <c r="I11" i="49"/>
  <c r="H36" i="82"/>
  <c r="H38" i="82" l="1"/>
  <c r="H31" i="82"/>
  <c r="H22" i="82"/>
  <c r="I36" i="82"/>
  <c r="I33" i="82"/>
  <c r="H29" i="82"/>
  <c r="H28" i="82"/>
  <c r="H30" i="82"/>
  <c r="I37" i="82"/>
  <c r="I35" i="82"/>
  <c r="H27" i="82"/>
  <c r="K33" i="82" l="1"/>
  <c r="K37" i="82"/>
  <c r="K36" i="82"/>
  <c r="K35" i="82"/>
  <c r="G51" i="82"/>
  <c r="G45" i="82"/>
  <c r="H44" i="82"/>
  <c r="H43" i="82"/>
  <c r="F55" i="49"/>
  <c r="H18" i="49"/>
  <c r="G51" i="49"/>
  <c r="G53" i="49"/>
  <c r="G54" i="49"/>
  <c r="G50" i="49"/>
  <c r="G52" i="49"/>
  <c r="H70" i="49"/>
  <c r="G59" i="49"/>
  <c r="H59" i="49"/>
  <c r="G70" i="49"/>
  <c r="H50" i="82"/>
  <c r="H49" i="82"/>
  <c r="H48" i="82"/>
  <c r="H47" i="82"/>
  <c r="H46" i="82"/>
  <c r="F54" i="82"/>
  <c r="H42" i="82"/>
  <c r="H23" i="82"/>
  <c r="H40" i="82"/>
  <c r="H41" i="82"/>
  <c r="H32" i="82"/>
  <c r="H19" i="82"/>
  <c r="H17" i="82"/>
  <c r="G20" i="82"/>
  <c r="G25" i="82"/>
  <c r="G53" i="82"/>
  <c r="H18" i="82"/>
  <c r="H19" i="49"/>
  <c r="H17" i="49"/>
  <c r="J11" i="49"/>
  <c r="G25" i="49"/>
  <c r="G20" i="49"/>
  <c r="I34" i="82"/>
  <c r="K34" i="82" l="1"/>
  <c r="I38" i="82"/>
  <c r="K38" i="82" s="1"/>
  <c r="I31" i="82"/>
  <c r="I22" i="49"/>
  <c r="I22" i="82"/>
  <c r="I29" i="82"/>
  <c r="I27" i="82"/>
  <c r="I28" i="82"/>
  <c r="I30" i="82"/>
  <c r="J23" i="82" l="1"/>
  <c r="K31" i="82"/>
  <c r="K29" i="82"/>
  <c r="K28" i="82"/>
  <c r="K30" i="82"/>
  <c r="K27" i="82"/>
  <c r="K22" i="82"/>
  <c r="H51" i="82"/>
  <c r="H45" i="82"/>
  <c r="I44" i="82"/>
  <c r="K44" i="82" s="1"/>
  <c r="I43" i="82"/>
  <c r="K43" i="82" s="1"/>
  <c r="I18" i="49"/>
  <c r="H50" i="49"/>
  <c r="H52" i="49"/>
  <c r="H54" i="49"/>
  <c r="H53" i="49"/>
  <c r="H51" i="49"/>
  <c r="G55" i="49"/>
  <c r="I68" i="49"/>
  <c r="I60" i="49"/>
  <c r="I67" i="49"/>
  <c r="I58" i="49"/>
  <c r="I69" i="49"/>
  <c r="I66" i="49"/>
  <c r="I57" i="49"/>
  <c r="I61" i="49"/>
  <c r="I65" i="49"/>
  <c r="I56" i="49"/>
  <c r="I73" i="49"/>
  <c r="I63" i="49"/>
  <c r="I62" i="49"/>
  <c r="I50" i="82"/>
  <c r="K50" i="82" s="1"/>
  <c r="I49" i="82"/>
  <c r="K49" i="82" s="1"/>
  <c r="I48" i="82"/>
  <c r="K48" i="82" s="1"/>
  <c r="I47" i="82"/>
  <c r="K47" i="82" s="1"/>
  <c r="I46" i="82"/>
  <c r="K46" i="82" s="1"/>
  <c r="H53" i="82"/>
  <c r="I41" i="82"/>
  <c r="K41" i="82" s="1"/>
  <c r="I40" i="82"/>
  <c r="K40" i="82" s="1"/>
  <c r="I42" i="82"/>
  <c r="K42" i="82" s="1"/>
  <c r="I23" i="82"/>
  <c r="I32" i="82"/>
  <c r="K32" i="82" s="1"/>
  <c r="I18" i="82"/>
  <c r="J18" i="82" s="1"/>
  <c r="K18" i="82" s="1"/>
  <c r="H25" i="82"/>
  <c r="H20" i="82"/>
  <c r="G54" i="82"/>
  <c r="I19" i="49"/>
  <c r="I17" i="49"/>
  <c r="I23" i="49"/>
  <c r="I74" i="49" s="1"/>
  <c r="H25" i="49"/>
  <c r="H20" i="49"/>
  <c r="J22" i="49"/>
  <c r="K23" i="82" l="1"/>
  <c r="J19" i="82"/>
  <c r="K16" i="82"/>
  <c r="C18" i="82"/>
  <c r="I17" i="82"/>
  <c r="K17" i="82" s="1"/>
  <c r="I19" i="82"/>
  <c r="I20" i="82" s="1"/>
  <c r="I51" i="82"/>
  <c r="K51" i="82" s="1"/>
  <c r="I45" i="82"/>
  <c r="K45" i="82" s="1"/>
  <c r="H55" i="49"/>
  <c r="J18" i="49"/>
  <c r="I51" i="49"/>
  <c r="I52" i="49"/>
  <c r="I53" i="49"/>
  <c r="I50" i="49"/>
  <c r="I54" i="49"/>
  <c r="J67" i="49"/>
  <c r="L67" i="49" s="1"/>
  <c r="J58" i="49"/>
  <c r="L58" i="49" s="1"/>
  <c r="J66" i="49"/>
  <c r="L66" i="49" s="1"/>
  <c r="J57" i="49"/>
  <c r="L57" i="49" s="1"/>
  <c r="J60" i="49"/>
  <c r="L60" i="49" s="1"/>
  <c r="J65" i="49"/>
  <c r="L65" i="49" s="1"/>
  <c r="J56" i="49"/>
  <c r="L56" i="49" s="1"/>
  <c r="J73" i="49"/>
  <c r="L73" i="49" s="1"/>
  <c r="J63" i="49"/>
  <c r="L63" i="49" s="1"/>
  <c r="J62" i="49"/>
  <c r="L62" i="49" s="1"/>
  <c r="J68" i="49"/>
  <c r="L68" i="49" s="1"/>
  <c r="J69" i="49"/>
  <c r="L69" i="49" s="1"/>
  <c r="J61" i="49"/>
  <c r="L61" i="49" s="1"/>
  <c r="I59" i="49"/>
  <c r="I70" i="49"/>
  <c r="L22" i="49"/>
  <c r="H54" i="82"/>
  <c r="I53" i="82"/>
  <c r="K53" i="82" s="1"/>
  <c r="J23" i="49"/>
  <c r="I25" i="49"/>
  <c r="I20" i="49"/>
  <c r="I25" i="82" l="1"/>
  <c r="K25" i="82" s="1"/>
  <c r="K19" i="82"/>
  <c r="J20" i="82"/>
  <c r="K20" i="82" s="1"/>
  <c r="J25" i="82"/>
  <c r="K19" i="49"/>
  <c r="I55" i="49"/>
  <c r="K18" i="49"/>
  <c r="J51" i="49"/>
  <c r="J53" i="49"/>
  <c r="J54" i="49"/>
  <c r="J52" i="49"/>
  <c r="J50" i="49"/>
  <c r="J59" i="49"/>
  <c r="L59" i="49" s="1"/>
  <c r="J70" i="49"/>
  <c r="L70" i="49" s="1"/>
  <c r="L23" i="49"/>
  <c r="J74" i="49"/>
  <c r="L74" i="49" s="1"/>
  <c r="J17" i="49"/>
  <c r="L17" i="49" s="1"/>
  <c r="L16" i="49"/>
  <c r="J19" i="49"/>
  <c r="L19" i="49" s="1"/>
  <c r="I54" i="82"/>
  <c r="K54" i="82" s="1"/>
  <c r="M25" i="81"/>
  <c r="I23" i="78"/>
  <c r="K25" i="49" l="1"/>
  <c r="K20" i="49"/>
  <c r="J55" i="49"/>
  <c r="K50" i="49"/>
  <c r="K54" i="49"/>
  <c r="L54" i="49" s="1"/>
  <c r="K51" i="49"/>
  <c r="L51" i="49" s="1"/>
  <c r="K53" i="49"/>
  <c r="L53" i="49" s="1"/>
  <c r="K52" i="49"/>
  <c r="L52" i="49" s="1"/>
  <c r="I64" i="78"/>
  <c r="I65" i="78" s="1"/>
  <c r="J20" i="49"/>
  <c r="L20" i="49" s="1"/>
  <c r="J25" i="49"/>
  <c r="L25" i="49" s="1"/>
  <c r="I25" i="78"/>
  <c r="K55" i="49" l="1"/>
  <c r="L55" i="49" s="1"/>
  <c r="L50" i="49"/>
  <c r="O44" i="81" l="1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xl2000="1" url="https://fclm-portal.amazon.com/ppa/inspect/node/csv?nodeType=DS&amp;warehouseId=DPD1&amp;maxIntradayDays=1&amp;spanType=Intraday&amp;startDateIntraday=2020%2F03%2F28&amp;startHourIntraday=21&amp;startMinuteIntraday=0&amp;endDateIntraday=2020%2F03%2F28&amp;endHourIntraday=22&amp;endMinuteIntraday=0" htmlTables="1" htmlFormat="all"/>
  </connection>
  <connection id="2" name="Connection1" type="4" refreshedVersion="6" background="1" saveData="1">
    <webPr xl2000="1" url="https://fclm-portal.amazon.com/ppa/inspect/node/csv?nodeType=DS&amp;warehouseId=DPD1&amp;maxIntradayDays=1&amp;spanType=Intraday&amp;startDateIntraday=2020%2F03%2F29&amp;startHourIntraday=3&amp;startMinuteIntraday=0&amp;endDateIntraday=2020%2F03%2F29&amp;endHourIntraday=4&amp;endMinuteIntraday=0" htmlTables="1" htmlFormat="all"/>
  </connection>
  <connection id="3" name="Connection10" type="4" refreshedVersion="6" background="1" saveData="1">
    <webPr xl2000="1" url="https://fclm-portal.amazon.com/ppa/inspect/node/csv?nodeType=DS&amp;warehouseId=DDC4&amp;maxIntradayDays=1&amp;spanType=Intraday&amp;startDateIntraday=2020%2F09%2F18&amp;startHourIntraday=11&amp;startMinuteIntraday=30&amp;endDateIntraday=2020%2F09%2F18&amp;endHourIntraday=14&amp;endMinuteIntraday=0" htmlTables="1" htmlFormat="all"/>
  </connection>
  <connection id="4" name="Connection100" type="4" refreshedVersion="6" background="1" saveData="1">
    <webPr xl2000="1" url="https://fclm-portal.amazon.com/ppa/inspect/node/csv?nodeType=DS&amp;warehouseId=DPD1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5" name="Connection102" type="4" refreshedVersion="6" background="1" saveData="1">
    <webPr xl2000="1" url="https://fclm-portal.amazon.com/ppa/inspect/node/csv?nodeType=DS&amp;warehouseId=DPD1&amp;maxIntradayDays=1&amp;spanType=Intraday&amp;startDateIntraday=2020%2F06%2F03&amp;startHourIntraday=19&amp;startMinuteIntraday=0&amp;endDateIntraday=2020%2F06%2F03&amp;endHourIntraday=20&amp;endMinuteIntraday=0" htmlTables="1" htmlFormat="all"/>
  </connection>
  <connection id="6" name="Connection106" type="4" refreshedVersion="6" background="1" saveData="1">
    <webPr xl2000="1" url="https://fclm-portal.amazon.com/ppa/inspect/node/csv?nodeType=DS&amp;warehouseId=DDA3&amp;maxIntradayDays=1&amp;spanType=Intraday&amp;startDateIntraday=2020%2F06%2F03&amp;startHourIntraday=20&amp;startMinuteIntraday=0&amp;endDateIntraday=2020%2F06%2F03&amp;endHourIntraday=21&amp;endMinuteIntraday=0" htmlTables="1" htmlFormat="all"/>
  </connection>
  <connection id="7" name="Connection107" type="4" refreshedVersion="6" background="1" saveData="1">
    <webPr xl2000="1" url="https://fclm-portal.amazon.com/ppa/inspect/node/csv?nodeType=DS&amp;warehouseId=DDA3&amp;maxIntradayDays=1&amp;spanType=Intraday&amp;startDateIntraday=2020%2F06%2F03&amp;startHourIntraday=17&amp;startMinuteIntraday=0&amp;endDateIntraday=2020%2F06%2F03&amp;endHourIntraday=18&amp;endMinuteIntraday=0" htmlTables="1" htmlFormat="all"/>
  </connection>
  <connection id="8" name="Connection109" type="4" refreshedVersion="6" background="1" saveData="1">
    <webPr xl2000="1" url="https://fclm-portal.amazon.com/ppa/inspect/node/csv?nodeType=DS&amp;warehouseId=DDA3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9" name="Connection11" type="4" refreshedVersion="6" background="1" saveData="1">
    <webPr xl2000="1" url="https://fclm-portal.amazon.com/ppa/inspect/node/csv?nodeType=DS&amp;warehouseId=DPD1&amp;maxIntradayDays=1&amp;spanType=Intraday&amp;startDateIntraday=2020%2F03%2F24&amp;startHourIntraday=0&amp;startMinuteIntraday=0&amp;endDateIntraday=2020%2F03%2F24&amp;endHourIntraday=1&amp;endMinuteIntraday=0" htmlTables="1" htmlFormat="all"/>
  </connection>
  <connection id="10" name="Connection111" type="4" refreshedVersion="6" background="1" saveData="1">
    <webPr xl2000="1" url="https://fclm-portal.amazon.com/ppa/inspect/node/csv?nodeType=DS&amp;warehouseId=DDA3&amp;maxIntradayDays=1&amp;spanType=Intraday&amp;startDateIntraday=2020%2F06%2F03&amp;startHourIntraday=17&amp;startMinuteIntraday=0&amp;endDateIntraday=2020%2F06%2F03&amp;endHourIntraday=18&amp;endMinuteIntraday=0" htmlTables="1" htmlFormat="all"/>
  </connection>
  <connection id="11" name="Connection113" type="4" refreshedVersion="6" background="1" saveData="1">
    <webPr xl2000="1" url="https://fclm-portal.amazon.com/ppa/inspect/node/csv?nodeType=DS&amp;warehouseId=DDA3&amp;maxIntradayDays=1&amp;spanType=Intraday&amp;startDateIntraday=2020%2F06%2F03&amp;startHourIntraday=17&amp;startMinuteIntraday=0&amp;endDateIntraday=2020%2F06%2F03&amp;endHourIntraday=18&amp;endMinuteIntraday=0" htmlTables="1" htmlFormat="all"/>
  </connection>
  <connection id="12" name="Connection115" type="4" refreshedVersion="6" background="1" saveData="1">
    <webPr xl2000="1" url="https://fclm-portal.amazon.com/ppa/inspect/node/csv?nodeType=DS&amp;warehouseId=DDA3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13" name="Connection117" type="4" refreshedVersion="6" background="1" saveData="1">
    <webPr xl2000="1" url="https://fclm-portal.amazon.com/ppa/inspect/node/csv?nodeType=DS&amp;warehouseId=DDA3&amp;maxIntradayDays=1&amp;spanType=Intraday&amp;startDateIntraday=2020%2F06%2F03&amp;startHourIntraday=21&amp;startMinuteIntraday=0&amp;endDateIntraday=2020%2F06%2F03&amp;endHourIntraday=22&amp;endMinuteIntraday=0" htmlTables="1" htmlFormat="all"/>
  </connection>
  <connection id="14" name="Connection119" type="4" refreshedVersion="6" background="1" saveData="1">
    <webPr xl2000="1" url="https://fclm-portal.amazon.com/ppa/inspect/node/csv?nodeType=DS&amp;warehouseId=DDA3&amp;maxIntradayDays=1&amp;spanType=Intraday&amp;startDateIntraday=2020%2F06%2F03&amp;startHourIntraday=17&amp;startMinuteIntraday=0&amp;endDateIntraday=2020%2F06%2F03&amp;endHourIntraday=18&amp;endMinuteIntraday=0" htmlTables="1" htmlFormat="all"/>
  </connection>
  <connection id="15" name="Connection12" type="4" refreshedVersion="6" background="1" saveData="1">
    <webPr xl2000="1" url="https://fclm-portal.amazon.com/ppa/inspect/node/csv?nodeType=DS&amp;warehouseId=DDC4&amp;maxIntradayDays=1&amp;spanType=Intraday&amp;startDateIntraday=2020%2F09%2F18&amp;startHourIntraday=11&amp;startMinuteIntraday=30&amp;endDateIntraday=2020%2F09%2F18&amp;endHourIntraday=14&amp;endMinuteIntraday=0" htmlTables="1" htmlFormat="all"/>
  </connection>
  <connection id="16" name="Connection121" type="4" refreshedVersion="6" background="1" saveData="1">
    <webPr xl2000="1" url="https://fclm-portal.amazon.com/ppa/inspect/node/csv?nodeType=DS&amp;warehouseId=DDA3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17" name="Connection123" type="4" refreshedVersion="6" background="1" saveData="1">
    <webPr xl2000="1" url="https://fclm-portal.amazon.com/ppa/inspect/node/csv?nodeType=DS&amp;warehouseId=DDA3&amp;maxIntradayDays=1&amp;spanType=Intraday&amp;startDateIntraday=2020%2F06%2F03&amp;startHourIntraday=19&amp;startMinuteIntraday=0&amp;endDateIntraday=2020%2F06%2F03&amp;endHourIntraday=20&amp;endMinuteIntraday=0" htmlTables="1" htmlFormat="all"/>
  </connection>
  <connection id="18" name="Connection125" type="4" refreshedVersion="6" background="1" saveData="1">
    <webPr xl2000="1" url="https://fclm-portal.amazon.com/ppa/inspect/node/csv?nodeType=DS&amp;warehouseId=DDA3&amp;maxIntradayDays=1&amp;spanType=Intraday&amp;startDateIntraday=2020%2F06%2F03&amp;startHourIntraday=20&amp;startMinuteIntraday=0&amp;endDateIntraday=2020%2F06%2F03&amp;endHourIntraday=21&amp;endMinuteIntraday=0" htmlTables="1" htmlFormat="all"/>
  </connection>
  <connection id="19" name="Connection127" type="4" refreshedVersion="6" background="1" saveData="1">
    <webPr xl2000="1" url="https://fclm-portal.amazon.com/ppa/inspect/node/csv?nodeType=DS&amp;warehouseId=DDA3&amp;maxIntradayDays=1&amp;spanType=Intraday&amp;startDateIntraday=2020%2F06%2F03&amp;startHourIntraday=21&amp;startMinuteIntraday=0&amp;endDateIntraday=2020%2F06%2F03&amp;endHourIntraday=22&amp;endMinuteIntraday=0" htmlTables="1" htmlFormat="all"/>
  </connection>
  <connection id="20" name="Connection129" type="4" refreshedVersion="6" background="1" saveData="1">
    <webPr xl2000="1" url="https://fclm-portal.amazon.com/ppa/inspect/node/csv?nodeType=DS&amp;warehouseId=DDA3&amp;maxIntradayDays=1&amp;spanType=Intraday&amp;startDateIntraday=2020%2F06%2F03&amp;startHourIntraday=22&amp;startMinuteIntraday=0&amp;endDateIntraday=2020%2F06%2F03&amp;endHourIntraday=23&amp;endMinuteIntraday=0" htmlTables="1" htmlFormat="all"/>
  </connection>
  <connection id="21" name="Connection13" type="4" refreshedVersion="6" background="1" saveData="1">
    <webPr xl2000="1" url="https://fclm-portal.amazon.com/ppa/inspect/node/csv?nodeType=DS&amp;warehouseId=DDC4&amp;maxIntradayDays=1&amp;spanType=Intraday&amp;startDateIntraday=2020%2F09%2F18&amp;startHourIntraday=4&amp;startMinuteIntraday=0&amp;endDateIntraday=2020%2F09%2F19&amp;endHourIntraday=9&amp;endMinuteIntraday=0" htmlTables="1" htmlFormat="all"/>
  </connection>
  <connection id="22" name="Connection131" type="4" refreshedVersion="6" background="1" saveData="1">
    <webPr xl2000="1" url="https://fclm-portal.amazon.com/ppa/inspect/node/csv?nodeType=DS&amp;warehouseId=DDA3&amp;maxIntradayDays=1&amp;spanType=Intraday&amp;startDateIntraday=2020%2F06%2F03&amp;startHourIntraday=23&amp;startMinuteIntraday=0&amp;endDateIntraday=2020%2F06%2F04&amp;endHourIntraday=0&amp;endMinuteIntraday=0" htmlTables="1" htmlFormat="all"/>
  </connection>
  <connection id="23" name="Connection133" type="4" refreshedVersion="6" background="1" saveData="1">
    <webPr xl2000="1" url="https://fclm-portal.amazon.com/ppa/inspect/node/csv?nodeType=DS&amp;warehouseId=DDA3&amp;maxIntradayDays=1&amp;spanType=Intraday&amp;startDateIntraday=2020%2F06%2F04&amp;startHourIntraday=0&amp;startMinuteIntraday=0&amp;endDateIntraday=2020%2F06%2F04&amp;endHourIntraday=1&amp;endMinuteIntraday=0" htmlTables="1" htmlFormat="all"/>
  </connection>
  <connection id="24" name="Connection135" type="4" refreshedVersion="6" background="1" saveData="1">
    <webPr xl2000="1" url="https://fclm-portal.amazon.com/ppa/inspect/node/csv?nodeType=DS&amp;warehouseId=DDA3&amp;maxIntradayDays=1&amp;spanType=Intraday&amp;startDateIntraday=2020%2F06%2F04&amp;startHourIntraday=1&amp;startMinuteIntraday=0&amp;endDateIntraday=2020%2F06%2F04&amp;endHourIntraday=2&amp;endMinuteIntraday=0" htmlTables="1" htmlFormat="all"/>
  </connection>
  <connection id="25" name="Connection137" type="4" refreshedVersion="6" background="1" saveData="1">
    <webPr xl2000="1" url="https://fclm-portal.amazon.com/ppa/inspect/node/csv?nodeType=DS&amp;warehouseId=DDA3&amp;maxIntradayDays=1&amp;spanType=Intraday&amp;startDateIntraday=2020%2F06%2F04&amp;startHourIntraday=2&amp;startMinuteIntraday=0&amp;endDateIntraday=2020%2F06%2F04&amp;endHourIntraday=3&amp;endMinuteIntraday=0" htmlTables="1" htmlFormat="all"/>
  </connection>
  <connection id="26" name="Connection139" type="4" refreshedVersion="6" background="1" saveData="1">
    <webPr xl2000="1" url="https://fclm-portal.amazon.com/ppa/inspect/node/csv?nodeType=DS&amp;warehouseId=DDA3&amp;maxIntradayDays=1&amp;spanType=Intraday&amp;startDateIntraday=2020%2F06%2F04&amp;startHourIntraday=3&amp;startMinuteIntraday=0&amp;endDateIntraday=2020%2F06%2F04&amp;endHourIntraday=4&amp;endMinuteIntraday=0" htmlTables="1" htmlFormat="all"/>
  </connection>
  <connection id="27" name="Connection14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0&amp;endDateIntraday=2020%2F09%2F18&amp;endHourIntraday=9&amp;endMinuteIntraday=0" htmlTables="1" htmlFormat="all"/>
  </connection>
  <connection id="28" name="Connection141" type="4" refreshedVersion="6" background="1" saveData="1">
    <webPr xl2000="1" url="https://fclm-portal.amazon.com/ppa/inspect/node/csv?nodeType=DS&amp;warehouseId=DDA3&amp;maxIntradayDays=1&amp;spanType=Intraday&amp;startDateIntraday=2020%2F06%2F04&amp;startHourIntraday=4&amp;startMinuteIntraday=0&amp;endDateIntraday=2020%2F06%2F04&amp;endHourIntraday=5&amp;endMinuteIntraday=0" htmlTables="1" htmlFormat="all"/>
  </connection>
  <connection id="29" name="Connection143" type="4" refreshedVersion="6" background="1" saveData="1">
    <webPr xl2000="1" url="https://fclm-portal.amazon.com/ppa/inspect/node/csv?nodeType=DS&amp;warehouseId=DDA3&amp;maxIntradayDays=1&amp;spanType=Intraday&amp;startDateIntraday=2020%2F06%2F04&amp;startHourIntraday=5&amp;startMinuteIntraday=0&amp;endDateIntraday=2020%2F06%2F04&amp;endHourIntraday=6&amp;endMinuteIntraday=0" htmlTables="1" htmlFormat="all"/>
  </connection>
  <connection id="30" name="Connection145" type="4" refreshedVersion="6" background="1" saveData="1">
    <webPr xl2000="1" url="https://fclm-portal.amazon.com/ppa/inspect/node/csv?nodeType=DS&amp;warehouseId=DDA3&amp;maxIntradayDays=1&amp;spanType=Intraday&amp;startDateIntraday=2020%2F06%2F04&amp;startHourIntraday=6&amp;startMinuteIntraday=0&amp;endDateIntraday=2020%2F06%2F04&amp;endHourIntraday=7&amp;endMinuteIntraday=0" htmlTables="1" htmlFormat="all"/>
  </connection>
  <connection id="31" name="Connection147" type="4" refreshedVersion="6" background="1" saveData="1">
    <webPr xl2000="1" url="https://fclm-portal.amazon.com/ppa/inspect/node/csv?nodeType=DS&amp;warehouseId=DDA3&amp;maxIntradayDays=1&amp;spanType=Intraday&amp;startDateIntraday=2020%2F06%2F04&amp;startHourIntraday=7&amp;startMinuteIntraday=0&amp;endDateIntraday=2020%2F06%2F04&amp;endHourIntraday=8&amp;endMinuteIntraday=0" htmlTables="1" htmlFormat="all"/>
  </connection>
  <connection id="32" name="Connection149" type="4" refreshedVersion="6" background="1" saveData="1">
    <webPr xl2000="1" url="https://fclm-portal.amazon.com/ppa/inspect/node/csv?nodeType=DS&amp;warehouseId=DDA3&amp;maxIntradayDays=1&amp;spanType=Intraday&amp;startDateIntraday=2020%2F06%2F04&amp;startHourIntraday=8&amp;startMinuteIntraday=0&amp;endDateIntraday=2020%2F06%2F04&amp;endHourIntraday=9&amp;endMinuteIntraday=0" htmlTables="1" htmlFormat="all"/>
  </connection>
  <connection id="33" name="Connection15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0&amp;endDateIntraday=2020%2F09%2F18&amp;endHourIntraday=9&amp;endMinuteIntraday=0" htmlTables="1" htmlFormat="all"/>
  </connection>
  <connection id="34" name="Connection151" type="4" refreshedVersion="6" background="1" saveData="1">
    <webPr xl2000="1" url="https://fclm-portal.amazon.com/ppa/inspect/node/csv?nodeType=DS&amp;warehouseId=DDA3&amp;maxIntradayDays=1&amp;spanType=Intraday&amp;startDateIntraday=2020%2F06%2F04&amp;startHourIntraday=9&amp;startMinuteIntraday=0&amp;endDateIntraday=2020%2F06%2F04&amp;endHourIntraday=10&amp;endMinuteIntraday=0" htmlTables="1" htmlFormat="all"/>
  </connection>
  <connection id="35" name="Connection153" type="4" refreshedVersion="6" background="1" saveData="1">
    <webPr xl2000="1" url="https://fclm-portal.amazon.com/ppa/inspect/node/csv?nodeType=DS&amp;warehouseId=DDA3&amp;maxIntradayDays=1&amp;spanType=Intraday&amp;startDateIntraday=2020%2F06%2F03&amp;startHourIntraday=17&amp;startMinuteIntraday=0&amp;endDateIntraday=2020%2F06%2F03&amp;endHourIntraday=18&amp;endMinuteIntraday=0" htmlTables="1" htmlFormat="all"/>
  </connection>
  <connection id="36" name="Connection155" type="4" refreshedVersion="6" background="1" saveData="1">
    <webPr xl2000="1" url="https://fclm-portal.amazon.com/ppa/inspect/node/csv?nodeType=DS&amp;warehouseId=DDA3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37" name="Connection157" type="4" refreshedVersion="6" background="1" saveData="1">
    <webPr xl2000="1" url="https://fclm-portal.amazon.com/ppa/inspect/node/csv?nodeType=DS&amp;warehouseId=DDA3&amp;maxIntradayDays=1&amp;spanType=Intraday&amp;startDateIntraday=2020%2F06%2F03&amp;startHourIntraday=19&amp;startMinuteIntraday=0&amp;endDateIntraday=2020%2F06%2F03&amp;endHourIntraday=20&amp;endMinuteIntraday=0" htmlTables="1" htmlFormat="all"/>
  </connection>
  <connection id="38" name="Connection159" type="4" refreshedVersion="6" background="1" saveData="1">
    <webPr xl2000="1" url="https://fclm-portal.amazon.com/ppa/inspect/node/csv?nodeType=DS&amp;warehouseId=DDA3&amp;maxIntradayDays=1&amp;spanType=Intraday&amp;startDateIntraday=2020%2F06%2F03&amp;startHourIntraday=20&amp;startMinuteIntraday=0&amp;endDateIntraday=2020%2F06%2F03&amp;endHourIntraday=21&amp;endMinuteIntraday=0" htmlTables="1" htmlFormat="all"/>
  </connection>
  <connection id="39" name="Connection16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0&amp;endDateIntraday=2020%2F09%2F18&amp;endHourIntraday=9&amp;endMinuteIntraday=0" htmlTables="1" htmlFormat="all"/>
  </connection>
  <connection id="40" name="Connection161" type="4" refreshedVersion="6" background="1" saveData="1">
    <webPr xl2000="1" url="https://fclm-portal.amazon.com/ppa/inspect/node/csv?nodeType=DS&amp;warehouseId=DDA3&amp;maxIntradayDays=1&amp;spanType=Intraday&amp;startDateIntraday=2020%2F06%2F03&amp;startHourIntraday=21&amp;startMinuteIntraday=0&amp;endDateIntraday=2020%2F06%2F03&amp;endHourIntraday=22&amp;endMinuteIntraday=0" htmlTables="1" htmlFormat="all"/>
  </connection>
  <connection id="41" name="Connection163" type="4" refreshedVersion="6" background="1" saveData="1">
    <webPr xl2000="1" url="https://fclm-portal.amazon.com/ppa/inspect/node/csv?nodeType=DS&amp;warehouseId=DDA3&amp;maxIntradayDays=1&amp;spanType=Intraday&amp;startDateIntraday=2020%2F06%2F03&amp;startHourIntraday=22&amp;startMinuteIntraday=0&amp;endDateIntraday=2020%2F06%2F03&amp;endHourIntraday=23&amp;endMinuteIntraday=0" htmlTables="1" htmlFormat="all"/>
  </connection>
  <connection id="42" name="Connection165" type="4" refreshedVersion="6" background="1" saveData="1">
    <webPr xl2000="1" url="https://fclm-portal.amazon.com/ppa/inspect/node/csv?nodeType=DS&amp;warehouseId=DDA3&amp;maxIntradayDays=1&amp;spanType=Intraday&amp;startDateIntraday=2020%2F06%2F03&amp;startHourIntraday=23&amp;startMinuteIntraday=0&amp;endDateIntraday=2020%2F06%2F04&amp;endHourIntraday=0&amp;endMinuteIntraday=0" htmlTables="1" htmlFormat="all"/>
  </connection>
  <connection id="43" name="Connection167" type="4" refreshedVersion="6" background="1" saveData="1">
    <webPr xl2000="1" url="https://fclm-portal.amazon.com/ppa/inspect/node/csv?nodeType=DS&amp;warehouseId=DDA3&amp;maxIntradayDays=1&amp;spanType=Intraday&amp;startDateIntraday=2020%2F06%2F04&amp;startHourIntraday=0&amp;startMinuteIntraday=0&amp;endDateIntraday=2020%2F06%2F04&amp;endHourIntraday=1&amp;endMinuteIntraday=0" htmlTables="1" htmlFormat="all"/>
  </connection>
  <connection id="44" name="Connection169" type="4" refreshedVersion="6" background="1" saveData="1">
    <webPr xl2000="1" url="https://fclm-portal.amazon.com/ppa/inspect/node/csv?nodeType=DS&amp;warehouseId=DDA3&amp;maxIntradayDays=1&amp;spanType=Intraday&amp;startDateIntraday=2020%2F06%2F04&amp;startHourIntraday=1&amp;startMinuteIntraday=0&amp;endDateIntraday=2020%2F06%2F04&amp;endHourIntraday=2&amp;endMinuteIntraday=0" htmlTables="1" htmlFormat="all"/>
  </connection>
  <connection id="45" name="Connection17" type="4" refreshedVersion="6" background="1" saveData="1">
    <webPr xl2000="1" url="https://fclm-portal.amazon.com/ppa/inspect/node/csv?nodeType=DS&amp;warehouseId=DPD1&amp;maxIntradayDays=1&amp;spanType=Intraday&amp;startDateIntraday=2020%2F03%2F24&amp;startHourIntraday=6&amp;startMinuteIntraday=0&amp;endDateIntraday=2020%2F03%2F24&amp;endHourIntraday=7&amp;endMinuteIntraday=0" htmlTables="1" htmlFormat="all"/>
  </connection>
  <connection id="46" name="Connection171" type="4" refreshedVersion="6" background="1" saveData="1">
    <webPr xl2000="1" url="https://fclm-portal.amazon.com/ppa/inspect/node/csv?nodeType=DS&amp;warehouseId=DDA3&amp;maxIntradayDays=1&amp;spanType=Intraday&amp;startDateIntraday=2020%2F06%2F04&amp;startHourIntraday=2&amp;startMinuteIntraday=0&amp;endDateIntraday=2020%2F06%2F04&amp;endHourIntraday=3&amp;endMinuteIntraday=0" htmlTables="1" htmlFormat="all"/>
  </connection>
  <connection id="47" name="Connection173" type="4" refreshedVersion="6" background="1" saveData="1">
    <webPr xl2000="1" url="https://fclm-portal.amazon.com/ppa/inspect/node/csv?nodeType=DS&amp;warehouseId=DDA3&amp;maxIntradayDays=1&amp;spanType=Intraday&amp;startDateIntraday=2020%2F06%2F04&amp;startHourIntraday=3&amp;startMinuteIntraday=0&amp;endDateIntraday=2020%2F06%2F04&amp;endHourIntraday=4&amp;endMinuteIntraday=0" htmlTables="1" htmlFormat="all"/>
  </connection>
  <connection id="48" name="Connection175" type="4" refreshedVersion="6" background="1" saveData="1">
    <webPr xl2000="1" url="https://fclm-portal.amazon.com/ppa/inspect/node/csv?nodeType=DS&amp;warehouseId=DDA3&amp;maxIntradayDays=1&amp;spanType=Intraday&amp;startDateIntraday=2020%2F06%2F04&amp;startHourIntraday=4&amp;startMinuteIntraday=0&amp;endDateIntraday=2020%2F06%2F04&amp;endHourIntraday=5&amp;endMinuteIntraday=0" htmlTables="1" htmlFormat="all"/>
  </connection>
  <connection id="49" name="Connection177" type="4" refreshedVersion="6" background="1" saveData="1">
    <webPr xl2000="1" url="https://fclm-portal.amazon.com/ppa/inspect/node/csv?nodeType=DS&amp;warehouseId=DDA3&amp;maxIntradayDays=1&amp;spanType=Intraday&amp;startDateIntraday=2020%2F06%2F04&amp;startHourIntraday=5&amp;startMinuteIntraday=0&amp;endDateIntraday=2020%2F06%2F04&amp;endHourIntraday=6&amp;endMinuteIntraday=0" htmlTables="1" htmlFormat="all"/>
  </connection>
  <connection id="50" name="Connection179" type="4" refreshedVersion="6" background="1" saveData="1">
    <webPr xl2000="1" url="https://fclm-portal.amazon.com/ppa/inspect/node/csv?nodeType=DS&amp;warehouseId=DDA3&amp;maxIntradayDays=1&amp;spanType=Intraday&amp;startDateIntraday=2020%2F06%2F04&amp;startHourIntraday=6&amp;startMinuteIntraday=0&amp;endDateIntraday=2020%2F06%2F04&amp;endHourIntraday=7&amp;endMinuteIntraday=0" htmlTables="1" htmlFormat="all"/>
  </connection>
  <connection id="51" name="Connection18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52" name="Connection181" type="4" refreshedVersion="6" background="1" saveData="1">
    <webPr xl2000="1" url="https://fclm-portal.amazon.com/ppa/inspect/node/csv?nodeType=DS&amp;warehouseId=DDA3&amp;maxIntradayDays=1&amp;spanType=Intraday&amp;startDateIntraday=2020%2F06%2F04&amp;startHourIntraday=7&amp;startMinuteIntraday=0&amp;endDateIntraday=2020%2F06%2F04&amp;endHourIntraday=8&amp;endMinuteIntraday=0" htmlTables="1" htmlFormat="all"/>
  </connection>
  <connection id="53" name="Connection183" type="4" refreshedVersion="6" background="1" saveData="1">
    <webPr xl2000="1" url="https://fclm-portal.amazon.com/ppa/inspect/node/csv?nodeType=DS&amp;warehouseId=DDA3&amp;maxIntradayDays=1&amp;spanType=Intraday&amp;startDateIntraday=2020%2F06%2F04&amp;startHourIntraday=8&amp;startMinuteIntraday=0&amp;endDateIntraday=2020%2F06%2F04&amp;endHourIntraday=9&amp;endMinuteIntraday=0" htmlTables="1" htmlFormat="all"/>
  </connection>
  <connection id="54" name="Connection185" type="4" refreshedVersion="6" background="1" saveData="1">
    <webPr xl2000="1" url="https://fclm-portal.amazon.com/ppa/inspect/node/csv?nodeType=DS&amp;warehouseId=DDA3&amp;maxIntradayDays=1&amp;spanType=Intraday&amp;startDateIntraday=2020%2F06%2F04&amp;startHourIntraday=9&amp;startMinuteIntraday=0&amp;endDateIntraday=2020%2F06%2F04&amp;endHourIntraday=10&amp;endMinuteIntraday=0" htmlTables="1" htmlFormat="all"/>
  </connection>
  <connection id="55" name="Connection187" type="4" refreshedVersion="6" background="1" saveData="1">
    <webPr xl2000="1" url="https://fclm-portal.amazon.com/ppa/inspect/node/csv?nodeType=DS&amp;warehouseId=DDA3&amp;maxIntradayDays=1&amp;spanType=Intraday&amp;startDateIntraday=2020%2F06%2F03&amp;startHourIntraday=17&amp;startMinuteIntraday=0&amp;endDateIntraday=2020%2F06%2F03&amp;endHourIntraday=18&amp;endMinuteIntraday=0" htmlTables="1" htmlFormat="all"/>
  </connection>
  <connection id="56" name="Connection189" type="4" refreshedVersion="6" background="1" saveData="1">
    <webPr xl2000="1" url="https://fclm-portal.amazon.com/ppa/inspect/node/csv?nodeType=DS&amp;warehouseId=DDA3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57" name="Connection19" type="4" refreshedVersion="6" background="1" saveData="1">
    <webPr xl2000="1" url="https://fclm-portal.amazon.com/ppa/inspect/node/csv?nodeType=DS&amp;warehouseId=DPD1&amp;maxIntradayDays=1&amp;spanType=Intraday&amp;startDateIntraday=2020%2F04%2F11&amp;startHourIntraday=6&amp;startMinuteIntraday=0&amp;endDateIntraday=2020%2F04%2F11&amp;endHourIntraday=7&amp;endMinuteIntraday=0" htmlTables="1" htmlFormat="all"/>
  </connection>
  <connection id="58" name="Connection191" type="4" refreshedVersion="6" background="1" saveData="1">
    <webPr xl2000="1" url="https://fclm-portal.amazon.com/ppa/inspect/node/csv?nodeType=DS&amp;warehouseId=DDA3&amp;maxIntradayDays=1&amp;spanType=Intraday&amp;startDateIntraday=2020%2F06%2F03&amp;startHourIntraday=19&amp;startMinuteIntraday=0&amp;endDateIntraday=2020%2F06%2F03&amp;endHourIntraday=20&amp;endMinuteIntraday=0" htmlTables="1" htmlFormat="all"/>
  </connection>
  <connection id="59" name="Connection193" type="4" refreshedVersion="6" background="1" saveData="1">
    <webPr xl2000="1" url="https://fclm-portal.amazon.com/ppa/inspect/node/csv?nodeType=DS&amp;warehouseId=DDA3&amp;maxIntradayDays=1&amp;spanType=Intraday&amp;startDateIntraday=2020%2F06%2F03&amp;startHourIntraday=20&amp;startMinuteIntraday=0&amp;endDateIntraday=2020%2F06%2F03&amp;endHourIntraday=21&amp;endMinuteIntraday=0" htmlTables="1" htmlFormat="all"/>
  </connection>
  <connection id="60" name="Connection195" type="4" refreshedVersion="6" background="1" saveData="1">
    <webPr xl2000="1" url="https://fclm-portal.amazon.com/ppa/inspect/node/csv?nodeType=DS&amp;warehouseId=DDA3&amp;maxIntradayDays=1&amp;spanType=Intraday&amp;startDateIntraday=2020%2F06%2F03&amp;startHourIntraday=21&amp;startMinuteIntraday=0&amp;endDateIntraday=2020%2F06%2F03&amp;endHourIntraday=22&amp;endMinuteIntraday=0" htmlTables="1" htmlFormat="all"/>
  </connection>
  <connection id="61" name="Connection197" type="4" refreshedVersion="6" background="1" saveData="1">
    <webPr xl2000="1" url="https://fclm-portal.amazon.com/ppa/inspect/node/csv?nodeType=DS&amp;warehouseId=DDA3&amp;maxIntradayDays=1&amp;spanType=Intraday&amp;startDateIntraday=2020%2F06%2F03&amp;startHourIntraday=22&amp;startMinuteIntraday=0&amp;endDateIntraday=2020%2F06%2F03&amp;endHourIntraday=23&amp;endMinuteIntraday=0" htmlTables="1" htmlFormat="all"/>
  </connection>
  <connection id="62" name="Connection199" type="4" refreshedVersion="6" background="1" saveData="1">
    <webPr xl2000="1" url="https://fclm-portal.amazon.com/ppa/inspect/node/csv?nodeType=DS&amp;warehouseId=DDA3&amp;maxIntradayDays=1&amp;spanType=Intraday&amp;startDateIntraday=2020%2F06%2F03&amp;startHourIntraday=23&amp;startMinuteIntraday=0&amp;endDateIntraday=2020%2F06%2F04&amp;endHourIntraday=0&amp;endMinuteIntraday=0" htmlTables="1" htmlFormat="all"/>
  </connection>
  <connection id="63" name="Connection2" type="4" refreshedVersion="6" background="1" saveData="1">
    <webPr xl2000="1" url="https://fclm-portal.amazon.com/ppa/inspect/node/csv?nodeType=DS&amp;warehouseId=DPD1&amp;maxIntradayDays=1&amp;spanType=Intraday&amp;startDateIntraday=2020%2F03%2F28&amp;startHourIntraday=23&amp;startMinuteIntraday=0&amp;endDateIntraday=2020%2F03%2F29&amp;endHourIntraday=0&amp;endMinuteIntraday=0" htmlTables="1" htmlFormat="all"/>
  </connection>
  <connection id="64" name="Connection20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65" name="Connection201" type="4" refreshedVersion="6" background="1" saveData="1">
    <webPr xl2000="1" url="https://fclm-portal.amazon.com/ppa/inspect/node/csv?nodeType=DS&amp;warehouseId=DDA3&amp;maxIntradayDays=1&amp;spanType=Intraday&amp;startDateIntraday=2020%2F06%2F04&amp;startHourIntraday=0&amp;startMinuteIntraday=0&amp;endDateIntraday=2020%2F06%2F04&amp;endHourIntraday=1&amp;endMinuteIntraday=0" htmlTables="1" htmlFormat="all"/>
  </connection>
  <connection id="66" name="Connection203" type="4" refreshedVersion="6" background="1" saveData="1">
    <webPr xl2000="1" url="https://fclm-portal.amazon.com/ppa/inspect/node/csv?nodeType=DS&amp;warehouseId=DDA3&amp;maxIntradayDays=1&amp;spanType=Intraday&amp;startDateIntraday=2020%2F06%2F04&amp;startHourIntraday=1&amp;startMinuteIntraday=0&amp;endDateIntraday=2020%2F06%2F04&amp;endHourIntraday=2&amp;endMinuteIntraday=0" htmlTables="1" htmlFormat="all"/>
  </connection>
  <connection id="67" name="Connection205" type="4" refreshedVersion="6" background="1" saveData="1">
    <webPr xl2000="1" url="https://fclm-portal.amazon.com/ppa/inspect/node/csv?nodeType=DS&amp;warehouseId=DDA3&amp;maxIntradayDays=1&amp;spanType=Intraday&amp;startDateIntraday=2020%2F06%2F04&amp;startHourIntraday=2&amp;startMinuteIntraday=0&amp;endDateIntraday=2020%2F06%2F04&amp;endHourIntraday=3&amp;endMinuteIntraday=0" htmlTables="1" htmlFormat="all"/>
  </connection>
  <connection id="68" name="Connection207" type="4" refreshedVersion="6" background="1" saveData="1">
    <webPr xl2000="1" url="https://fclm-portal.amazon.com/ppa/inspect/node/csv?nodeType=DS&amp;warehouseId=DDA3&amp;maxIntradayDays=1&amp;spanType=Intraday&amp;startDateIntraday=2020%2F06%2F04&amp;startHourIntraday=3&amp;startMinuteIntraday=0&amp;endDateIntraday=2020%2F06%2F04&amp;endHourIntraday=4&amp;endMinuteIntraday=0" htmlTables="1" htmlFormat="all"/>
  </connection>
  <connection id="69" name="Connection209" type="4" refreshedVersion="6" background="1" saveData="1">
    <webPr xl2000="1" url="https://fclm-portal.amazon.com/ppa/inspect/node/csv?nodeType=DS&amp;warehouseId=DDA3&amp;maxIntradayDays=1&amp;spanType=Intraday&amp;startDateIntraday=2020%2F06%2F04&amp;startHourIntraday=4&amp;startMinuteIntraday=0&amp;endDateIntraday=2020%2F06%2F04&amp;endHourIntraday=5&amp;endMinuteIntraday=0" htmlTables="1" htmlFormat="all"/>
  </connection>
  <connection id="70" name="Connection21" type="4" refreshedVersion="6" background="1" saveData="1">
    <webPr xl2000="1" url="https://fclm-portal.amazon.com/ppa/inspect/node/csv?nodeType=DS&amp;warehouseId=dpd1&amp;maxIntradayDays=1&amp;spanType=Intraday&amp;startDateIntraday=2020%2F06%2F04&amp;startHourIntraday=7&amp;startMinuteIntraday=0&amp;endDateIntraday=2020%2F06%2F04&amp;endHourIntraday=8&amp;endMinuteIntraday=0" htmlTables="1" htmlFormat="all"/>
  </connection>
  <connection id="71" name="Connection211" type="4" refreshedVersion="6" background="1" saveData="1">
    <webPr xl2000="1" url="https://fclm-portal.amazon.com/ppa/inspect/node/csv?nodeType=DS&amp;warehouseId=DDA3&amp;maxIntradayDays=1&amp;spanType=Intraday&amp;startDateIntraday=2020%2F06%2F04&amp;startHourIntraday=5&amp;startMinuteIntraday=0&amp;endDateIntraday=2020%2F06%2F04&amp;endHourIntraday=6&amp;endMinuteIntraday=0" htmlTables="1" htmlFormat="all"/>
  </connection>
  <connection id="72" name="Connection213" type="4" refreshedVersion="6" background="1" saveData="1">
    <webPr xl2000="1" url="https://fclm-portal.amazon.com/ppa/inspect/node/csv?nodeType=DS&amp;warehouseId=DDA3&amp;maxIntradayDays=1&amp;spanType=Intraday&amp;startDateIntraday=2020%2F06%2F04&amp;startHourIntraday=6&amp;startMinuteIntraday=0&amp;endDateIntraday=2020%2F06%2F04&amp;endHourIntraday=7&amp;endMinuteIntraday=0" htmlTables="1" htmlFormat="all"/>
  </connection>
  <connection id="73" name="Connection215" type="4" refreshedVersion="6" background="1" saveData="1">
    <webPr xl2000="1" url="https://fclm-portal.amazon.com/ppa/inspect/node/csv?nodeType=DS&amp;warehouseId=DDA3&amp;maxIntradayDays=1&amp;spanType=Intraday&amp;startDateIntraday=2020%2F06%2F04&amp;startHourIntraday=7&amp;startMinuteIntraday=0&amp;endDateIntraday=2020%2F06%2F04&amp;endHourIntraday=8&amp;endMinuteIntraday=0" htmlTables="1" htmlFormat="all"/>
  </connection>
  <connection id="74" name="Connection217" type="4" refreshedVersion="6" background="1" saveData="1">
    <webPr xl2000="1" url="https://fclm-portal.amazon.com/ppa/inspect/node/csv?nodeType=DS&amp;warehouseId=DDA3&amp;maxIntradayDays=1&amp;spanType=Intraday&amp;startDateIntraday=2020%2F06%2F04&amp;startHourIntraday=8&amp;startMinuteIntraday=0&amp;endDateIntraday=2020%2F06%2F04&amp;endHourIntraday=9&amp;endMinuteIntraday=0" htmlTables="1" htmlFormat="all"/>
  </connection>
  <connection id="75" name="Connection219" type="4" refreshedVersion="6" background="1" saveData="1">
    <webPr xl2000="1" url="https://fclm-portal.amazon.com/ppa/inspect/node/csv?nodeType=DS&amp;warehouseId=DDA3&amp;maxIntradayDays=1&amp;spanType=Intraday&amp;startDateIntraday=2020%2F06%2F04&amp;startHourIntraday=9&amp;startMinuteIntraday=0&amp;endDateIntraday=2020%2F06%2F04&amp;endHourIntraday=10&amp;endMinuteIntraday=0" htmlTables="1" htmlFormat="all"/>
  </connection>
  <connection id="76" name="Connection22" type="4" refreshedVersion="6" background="1" saveData="1">
    <webPr xl2000="1" url="https://fclm-portal.amazon.com/ppa/inspect/node/csv?nodeType=DS&amp;warehouseId=DPD1&amp;maxIntradayDays=1&amp;spanType=Intraday&amp;startDateIntraday=2020%2F04%2F11&amp;startHourIntraday=20&amp;startMinuteIntraday=0&amp;endDateIntraday=2020%2F04%2F11&amp;endHourIntraday=21&amp;endMinuteIntraday=0" htmlTables="1" htmlFormat="all"/>
  </connection>
  <connection id="77" name="Connection221" type="4" refreshedVersion="6" background="1" saveData="1">
    <webPr xl2000="1" url="https://fclm-portal.amazon.com/ppa/inspect/node/csv?nodeType=DS&amp;warehouseId=DDA3&amp;maxIntradayDays=1&amp;spanType=Intraday&amp;startDateIntraday=2020%2F06%2F03&amp;startHourIntraday=19&amp;startMinuteIntraday=0&amp;endDateIntraday=2020%2F06%2F03&amp;endHourIntraday=20&amp;endMinuteIntraday=0" htmlTables="1" htmlFormat="all"/>
  </connection>
  <connection id="78" name="Connection223" type="4" refreshedVersion="6" background="1" saveData="1">
    <webPr xl2000="1" url="https://fclm-portal.amazon.com/ppa/inspect/node/csv?nodeType=DS&amp;warehouseId=DDA3&amp;maxIntradayDays=1&amp;spanType=Intraday&amp;startDateIntraday=2020%2F06%2F03&amp;startHourIntraday=19&amp;startMinuteIntraday=0&amp;endDateIntraday=2020%2F06%2F03&amp;endHourIntraday=20&amp;endMinuteIntraday=0" htmlTables="1" htmlFormat="all"/>
  </connection>
  <connection id="79" name="Connection225" type="4" refreshedVersion="6" background="1" saveData="1">
    <webPr xl2000="1" url="https://fclm-portal.amazon.com/ppa/inspect/node/csv?nodeType=DS&amp;warehouseId=DDA3&amp;maxIntradayDays=1&amp;spanType=Intraday&amp;startDateIntraday=2020%2F06%2F03&amp;startHourIntraday=19&amp;startMinuteIntraday=0&amp;endDateIntraday=2020%2F06%2F03&amp;endHourIntraday=20&amp;endMinuteIntraday=0" htmlTables="1" htmlFormat="all"/>
  </connection>
  <connection id="80" name="Connection227" type="4" refreshedVersion="6" background="1" saveData="1">
    <webPr xl2000="1" url="https://fclm-portal.amazon.com/ppa/inspect/node/csv?nodeType=DS&amp;warehouseId=DDA3&amp;maxIntradayDays=1&amp;spanType=Intraday&amp;startDateIntraday=2020%2F06%2F03&amp;startHourIntraday=17&amp;startMinuteIntraday=0&amp;endDateIntraday=2020%2F06%2F03&amp;endHourIntraday=18&amp;endMinuteIntraday=0" htmlTables="1" htmlFormat="all"/>
  </connection>
  <connection id="81" name="Connection229" type="4" refreshedVersion="6" background="1" saveData="1">
    <webPr xl2000="1" url="https://fclm-portal.amazon.com/ppa/inspect/node/csv?nodeType=DS&amp;warehouseId=DDA3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82" name="Connection23" type="4" refreshedVersion="6" background="1" saveData="1">
    <webPr xl2000="1" url="https://fclm-portal.amazon.com/ppa/inspect/node/csv?nodeType=DS&amp;warehouseId=DPD1&amp;maxIntradayDays=1&amp;spanType=Intraday&amp;startDateIntraday=2020%2F04%2F11&amp;startHourIntraday=8&amp;startMinuteIntraday=0&amp;endDateIntraday=2020%2F04%2F11&amp;endHourIntraday=9&amp;endMinuteIntraday=0" htmlTables="1" htmlFormat="all"/>
  </connection>
  <connection id="83" name="Connection231" type="4" refreshedVersion="6" background="1" saveData="1">
    <webPr xl2000="1" url="https://fclm-portal.amazon.com/ppa/inspect/node/csv?nodeType=DS&amp;warehouseId=DDA3&amp;maxIntradayDays=1&amp;spanType=Intraday&amp;startDateIntraday=2020%2F06%2F03&amp;startHourIntraday=20&amp;startMinuteIntraday=0&amp;endDateIntraday=2020%2F06%2F03&amp;endHourIntraday=21&amp;endMinuteIntraday=0" htmlTables="1" htmlFormat="all"/>
  </connection>
  <connection id="84" name="Connection233" type="4" refreshedVersion="6" background="1" saveData="1">
    <webPr xl2000="1" url="https://fclm-portal.amazon.com/ppa/inspect/node/csv?nodeType=DS&amp;warehouseId=DDA3&amp;maxIntradayDays=1&amp;spanType=Intraday&amp;startDateIntraday=2020%2F06%2F03&amp;startHourIntraday=21&amp;startMinuteIntraday=0&amp;endDateIntraday=2020%2F06%2F03&amp;endHourIntraday=22&amp;endMinuteIntraday=0" htmlTables="1" htmlFormat="all"/>
  </connection>
  <connection id="85" name="Connection235" type="4" refreshedVersion="6" background="1" saveData="1">
    <webPr xl2000="1" url="https://fclm-portal.amazon.com/ppa/inspect/node/csv?nodeType=DS&amp;warehouseId=DDA3&amp;maxIntradayDays=1&amp;spanType=Intraday&amp;startDateIntraday=2020%2F06%2F03&amp;startHourIntraday=22&amp;startMinuteIntraday=0&amp;endDateIntraday=2020%2F06%2F03&amp;endHourIntraday=23&amp;endMinuteIntraday=0" htmlTables="1" htmlFormat="all"/>
  </connection>
  <connection id="86" name="Connection237" type="4" refreshedVersion="6" background="1" saveData="1">
    <webPr xl2000="1" url="https://fclm-portal.amazon.com/ppa/inspect/node/csv?nodeType=DS&amp;warehouseId=DDA3&amp;maxIntradayDays=1&amp;spanType=Intraday&amp;startDateIntraday=2020%2F06%2F03&amp;startHourIntraday=23&amp;startMinuteIntraday=0&amp;endDateIntraday=2020%2F06%2F04&amp;endHourIntraday=0&amp;endMinuteIntraday=0" htmlTables="1" htmlFormat="all"/>
  </connection>
  <connection id="87" name="Connection239" type="4" refreshedVersion="6" background="1" saveData="1">
    <webPr xl2000="1" url="https://fclm-portal.amazon.com/ppa/inspect/node/csv?nodeType=DS&amp;warehouseId=DDA3&amp;maxIntradayDays=1&amp;spanType=Intraday&amp;startDateIntraday=2020%2F06%2F03&amp;startHourIntraday=17&amp;startMinuteIntraday=0&amp;endDateIntraday=2020%2F06%2F03&amp;endHourIntraday=18&amp;endMinuteIntraday=0" htmlTables="1" htmlFormat="all"/>
  </connection>
  <connection id="88" name="Connection24" type="4" refreshedVersion="6" background="1" saveData="1">
    <webPr xl2000="1" url="https://fclm-portal.amazon.com/ppa/inspect/node/csv?nodeType=DS&amp;warehouseId=DSE4&amp;maxIntradayDays=1&amp;spanType=Intraday&amp;startDateIntraday=2020%2F06%2F04&amp;startHourIntraday=7&amp;startMinuteIntraday=0&amp;endDateIntraday=2020%2F06%2F04&amp;endHourIntraday=8&amp;endMinuteIntraday=0" htmlTables="1" htmlFormat="all"/>
  </connection>
  <connection id="89" name="Connection241" type="4" refreshedVersion="6" background="1" saveData="1">
    <webPr xl2000="1" url="https://fclm-portal.amazon.com/ppa/inspect/node/csv?nodeType=DS&amp;warehouseId=DDA3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90" name="Connection243" type="4" refreshedVersion="6" background="1" saveData="1">
    <webPr xl2000="1" url="https://fclm-portal.amazon.com/ppa/inspect/node/csv?nodeType=DS&amp;warehouseId=DDA3&amp;maxIntradayDays=1&amp;spanType=Intraday&amp;startDateIntraday=2020%2F06%2F03&amp;startHourIntraday=17&amp;startMinuteIntraday=0&amp;endDateIntraday=2020%2F06%2F03&amp;endHourIntraday=18&amp;endMinuteIntraday=0" htmlTables="1" htmlFormat="all"/>
  </connection>
  <connection id="91" name="Connection245" type="4" refreshedVersion="6" background="1" saveData="1">
    <webPr xl2000="1" url="https://fclm-portal.amazon.com/ppa/inspect/node/csv?nodeType=DS&amp;warehouseId=DDA3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92" name="Connection247" type="4" refreshedVersion="6" background="1" saveData="1">
    <webPr xl2000="1" url="https://fclm-portal.amazon.com/ppa/inspect/node/csv?nodeType=DS&amp;warehouseId=DDA3&amp;maxIntradayDays=1&amp;spanType=Intraday&amp;startDateIntraday=2020%2F06%2F03&amp;startHourIntraday=19&amp;startMinuteIntraday=0&amp;endDateIntraday=2020%2F06%2F03&amp;endHourIntraday=20&amp;endMinuteIntraday=0" htmlTables="1" htmlFormat="all"/>
  </connection>
  <connection id="93" name="Connection249" type="4" refreshedVersion="6" background="1" saveData="1">
    <webPr xl2000="1" url="https://fclm-portal.amazon.com/ppa/inspect/node/csv?nodeType=DS&amp;warehouseId=DDA3&amp;maxIntradayDays=1&amp;spanType=Intraday&amp;startDateIntraday=2020%2F06%2F03&amp;startHourIntraday=20&amp;startMinuteIntraday=0&amp;endDateIntraday=2020%2F06%2F03&amp;endHourIntraday=21&amp;endMinuteIntraday=0" htmlTables="1" htmlFormat="all"/>
  </connection>
  <connection id="94" name="Connection25" type="4" refreshedVersion="6" background="1" saveData="1">
    <webPr xl2000="1" url="https://fclm-portal.amazon.com/ppa/inspect/node/csv?nodeType=DS&amp;warehouseId=DPD1&amp;maxIntradayDays=1&amp;spanType=Intraday&amp;startDateIntraday=2020%2F04%2F11&amp;startHourIntraday=9&amp;startMinuteIntraday=0&amp;endDateIntraday=2020%2F04%2F11&amp;endHourIntraday=10&amp;endMinuteIntraday=0" htmlTables="1" htmlFormat="all"/>
  </connection>
  <connection id="95" name="Connection251" type="4" refreshedVersion="6" background="1" saveData="1">
    <webPr xl2000="1" url="https://fclm-portal.amazon.com/ppa/inspect/node/csv?nodeType=DS&amp;warehouseId=DDA3&amp;maxIntradayDays=1&amp;spanType=Intraday&amp;startDateIntraday=2020%2F06%2F03&amp;startHourIntraday=21&amp;startMinuteIntraday=0&amp;endDateIntraday=2020%2F06%2F03&amp;endHourIntraday=22&amp;endMinuteIntraday=0" htmlTables="1" htmlFormat="all"/>
  </connection>
  <connection id="96" name="Connection253" type="4" refreshedVersion="6" background="1" saveData="1">
    <webPr xl2000="1" url="https://fclm-portal.amazon.com/ppa/inspect/node/csv?nodeType=DS&amp;warehouseId=DDC4&amp;maxIntradayDays=1&amp;spanType=Intraday&amp;startDateIntraday=2020%2F06%2F03&amp;startHourIntraday=22&amp;startMinuteIntraday=0&amp;endDateIntraday=2020%2F06%2F03&amp;endHourIntraday=23&amp;endMinuteIntraday=0" htmlTables="1" htmlFormat="all"/>
  </connection>
  <connection id="97" name="Connection255" type="4" refreshedVersion="6" background="1" saveData="1">
    <webPr xl2000="1" url="https://fclm-portal.amazon.com/ppa/inspect/node/csv?nodeType=DS&amp;warehouseId=DDC4&amp;maxIntradayDays=1&amp;spanType=Intraday&amp;startDateIntraday=2020%2F06%2F03&amp;startHourIntraday=23&amp;startMinuteIntraday=0&amp;endDateIntraday=2020%2F06%2F04&amp;endHourIntraday=0&amp;endMinuteIntraday=0" htmlTables="1" htmlFormat="all"/>
  </connection>
  <connection id="98" name="Connection257" type="4" refreshedVersion="6" background="1" saveData="1">
    <webPr xl2000="1" url="https://fclm-portal.amazon.com/ppa/inspect/node/csv?nodeType=DS&amp;warehouseId=DDC4&amp;maxIntradayDays=1&amp;spanType=Intraday&amp;startDateIntraday=2020%2F06%2F03&amp;startHourIntraday=17&amp;startMinuteIntraday=0&amp;endDateIntraday=2020%2F06%2F03&amp;endHourIntraday=18&amp;endMinuteIntraday=0" htmlTables="1" htmlFormat="all"/>
  </connection>
  <connection id="99" name="Connection259" type="4" refreshedVersion="6" background="1" saveData="1">
    <webPr xl2000="1" url="https://fclm-portal.amazon.com/ppa/inspect/node/csv?nodeType=DS&amp;warehouseId=DDC4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100" name="Connection26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101" name="Connection261" type="4" refreshedVersion="6" background="1" saveData="1">
    <webPr xl2000="1" url="https://fclm-portal.amazon.com/ppa/inspect/node/csv?nodeType=DS&amp;warehouseId=DDC4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102" name="Connection263" type="4" refreshedVersion="6" background="1" saveData="1">
    <webPr xl2000="1" url="https://fclm-portal.amazon.com/ppa/inspect/node/csv?nodeType=DS&amp;warehouseId=DDC4&amp;maxIntradayDays=1&amp;spanType=Intraday&amp;startDateIntraday=2020%2F06%2F03&amp;startHourIntraday=18&amp;startMinuteIntraday=0&amp;endDateIntraday=2020%2F06%2F03&amp;endHourIntraday=19&amp;endMinuteIntraday=0" htmlTables="1" htmlFormat="all"/>
  </connection>
  <connection id="103" name="Connection265" type="4" refreshedVersion="6" background="1" saveData="1">
    <webPr xl2000="1" url="https://fclm-portal.amazon.com/ppa/inspect/node/csv?nodeType=DS&amp;warehouseId=DDC4&amp;maxIntradayDays=1&amp;spanType=Intraday&amp;startDateIntraday=2020%2F06%2F03&amp;startHourIntraday=17&amp;startMinuteIntraday=0&amp;endDateIntraday=2020%2F06%2F03&amp;endHourIntraday=18&amp;endMinuteIntraday=0" htmlTables="1" htmlFormat="all"/>
  </connection>
  <connection id="104" name="Connection267" type="4" refreshedVersion="6" background="1" saveData="1">
    <webPr xl2000="1" url="https://fclm-portal.amazon.com/ppa/inspect/node/csv?nodeType=DS&amp;warehouseId=DDC4&amp;maxIntradayDays=1&amp;spanType=Intraday&amp;startDateIntraday=2020%2F07%2F19&amp;startHourIntraday=18&amp;startMinuteIntraday=0&amp;endDateIntraday=2020%2F07%2F19&amp;endHourIntraday=19&amp;endMinuteIntraday=0" htmlTables="1" htmlFormat="all"/>
  </connection>
  <connection id="105" name="Connection269" type="4" refreshedVersion="6" background="1" saveData="1">
    <webPr xl2000="1" url="https://fclm-portal.amazon.com/ppa/inspect/node/csv?nodeType=DS&amp;warehouseId=DDC4&amp;maxIntradayDays=1&amp;spanType=Intraday&amp;startDateIntraday=2020%2F06%2F04&amp;startHourIntraday=8&amp;startMinuteIntraday=0&amp;endDateIntraday=2020%2F06%2F04&amp;endHourIntraday=9&amp;endMinuteIntraday=0" htmlTables="1" htmlFormat="all"/>
  </connection>
  <connection id="106" name="Connection27" type="4" refreshedVersion="6" background="1" saveData="1">
    <webPr xl2000="1" url="https://fclm-portal.amazon.com/ppa/inspect/node/csv?nodeType=DS&amp;warehouseId=DPD1&amp;maxIntradayDays=1&amp;spanType=Intraday&amp;startDateIntraday=2020%2F04%2F11&amp;startHourIntraday=10&amp;startMinuteIntraday=0&amp;endDateIntraday=2020%2F04%2F11&amp;endHourIntraday=11&amp;endMinuteIntraday=0" htmlTables="1" htmlFormat="all"/>
  </connection>
  <connection id="107" name="Connection271" type="4" refreshedVersion="6" background="1" saveData="1">
    <webPr xl2000="1" url="https://fclm-portal.amazon.com/ppa/inspect/node/csv?nodeType=DS&amp;warehouseId=DDC4&amp;maxIntradayDays=1&amp;spanType=Intraday&amp;startDateIntraday=2020%2F07%2F19&amp;startHourIntraday=8&amp;startMinuteIntraday=0&amp;endDateIntraday=2020%2F07%2F19&amp;endHourIntraday=9&amp;endMinuteIntraday=0" htmlTables="1" htmlFormat="all"/>
  </connection>
  <connection id="108" name="Connection272" type="4" refreshedVersion="6" background="1" saveData="1">
    <webPr xl2000="1" url="https://fclm-portal.amazon.com/ppa/inspect/node/csv?nodeType=DS&amp;warehouseId=DDC4&amp;maxIntradayDays=1&amp;spanType=Intraday&amp;startDateIntraday=2020%2F07%2F19&amp;startHourIntraday=7&amp;startMinuteIntraday=0&amp;endDateIntraday=2020%2F07%2F19&amp;endHourIntraday=8&amp;endMinuteIntraday=0" htmlTables="1" htmlFormat="all"/>
  </connection>
  <connection id="109" name="Connection274" type="4" refreshedVersion="6" background="1" saveData="1">
    <webPr xl2000="1" url="https://fclm-portal.amazon.com/ppa/inspect/node/csv?nodeType=DS&amp;warehouseId=DDC4&amp;maxIntradayDays=1&amp;spanType=Intraday&amp;startDateIntraday=2020%2F07%2F19&amp;startHourIntraday=8&amp;startMinuteIntraday=0&amp;endDateIntraday=2020%2F07%2F19&amp;endHourIntraday=9&amp;endMinuteIntraday=0" htmlTables="1" htmlFormat="all"/>
  </connection>
  <connection id="110" name="Connection276" type="4" refreshedVersion="6" background="1" saveData="1">
    <webPr xl2000="1" url="https://fclm-portal.amazon.com/ppa/inspect/node/csv?nodeType=DS&amp;warehouseId=DDC4&amp;maxIntradayDays=1&amp;spanType=Intraday&amp;startDateIntraday=2020%2F07%2F20&amp;startHourIntraday=7&amp;startMinuteIntraday=0&amp;endDateIntraday=2020%2F07%2F20&amp;endHourIntraday=8&amp;endMinuteIntraday=0" htmlTables="1" htmlFormat="all"/>
  </connection>
  <connection id="111" name="Connection278" type="4" refreshedVersion="6" background="1" saveData="1">
    <webPr xl2000="1" url="https://fclm-portal.amazon.com/ppa/inspect/node/csv?nodeType=DS&amp;warehouseId=DDC4&amp;maxIntradayDays=1&amp;spanType=Intraday&amp;startDateIntraday=2020%2F07%2F20&amp;startHourIntraday=8&amp;startMinuteIntraday=0&amp;endDateIntraday=2020%2F07%2F20&amp;endHourIntraday=9&amp;endMinuteIntraday=0" htmlTables="1" htmlFormat="all"/>
  </connection>
  <connection id="112" name="Connection28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113" name="Connection280" type="4" refreshedVersion="6" background="1" saveData="1">
    <webPr xl2000="1" url="https://fclm-portal.amazon.com/ppa/inspect/node/csv?nodeType=DS&amp;warehouseId=DDC4&amp;maxIntradayDays=1&amp;spanType=Intraday&amp;startDateIntraday=2020%2F07%2F20&amp;startHourIntraday=8&amp;startMinuteIntraday=0&amp;endDateIntraday=2020%2F07%2F20&amp;endHourIntraday=9&amp;endMinuteIntraday=0" htmlTables="1" htmlFormat="all"/>
  </connection>
  <connection id="114" name="Connection282" type="4" refreshedVersion="6" background="1" saveData="1">
    <webPr xl2000="1" url="https://fclm-portal.amazon.com/ppa/inspect/node/csv?nodeType=DS&amp;warehouseId=DDC4&amp;maxIntradayDays=1&amp;spanType=Intraday&amp;startDateIntraday=2020%2F07%2F20&amp;startHourIntraday=8&amp;startMinuteIntraday=0&amp;endDateIntraday=2020%2F07%2F20&amp;endHourIntraday=9&amp;endMinuteIntraday=0" htmlTables="1" htmlFormat="all"/>
  </connection>
  <connection id="115" name="Connection284" type="4" refreshedVersion="6" background="1" saveData="1">
    <webPr xl2000="1" url="https://fclm-portal.amazon.com/ppa/inspect/node/csv?nodeType=DS&amp;warehouseId=DDC4&amp;maxIntradayDays=1&amp;spanType=Intraday&amp;startDateIntraday=2020%2F07%2F20&amp;startHourIntraday=8&amp;startMinuteIntraday=0&amp;endDateIntraday=2020%2F07%2F20&amp;endHourIntraday=9&amp;endMinuteIntraday=0" htmlTables="1" htmlFormat="all"/>
  </connection>
  <connection id="116" name="Connection286" type="4" refreshedVersion="6" background="1" saveData="1">
    <webPr xl2000="1" url="https://fclm-portal.amazon.com/ppa/inspect/node/csv?nodeType=DS&amp;warehouseId=DDC4&amp;maxIntradayDays=1&amp;spanType=Intraday&amp;startDateIntraday=2020%2F07%2F19&amp;startHourIntraday=17&amp;startMinuteIntraday=0&amp;endDateIntraday=2020%2F07%2F19&amp;endHourIntraday=18&amp;endMinuteIntraday=0" htmlTables="1" htmlFormat="all"/>
  </connection>
  <connection id="117" name="Connection288" type="4" refreshedVersion="6" background="1" saveData="1">
    <webPr xl2000="1" url="https://fclm-portal.amazon.com/ppa/inspect/node/csv?nodeType=DS&amp;warehouseId=DDC4&amp;maxIntradayDays=1&amp;spanType=Intraday&amp;startDateIntraday=2020%2F07%2F20&amp;startHourIntraday=8&amp;startMinuteIntraday=0&amp;endDateIntraday=2020%2F07%2F20&amp;endHourIntraday=9&amp;endMinuteIntraday=0" htmlTables="1" htmlFormat="all"/>
  </connection>
  <connection id="118" name="Connection29" type="4" refreshedVersion="6" background="1" saveData="1">
    <webPr xl2000="1" url="https://fclm-portal.amazon.com/ppa/inspect/node/csv?nodeType=DS&amp;warehouseId=DPD1&amp;maxIntradayDays=1&amp;spanType=Intraday&amp;startDateIntraday=2020%2F04%2F11&amp;startHourIntraday=10&amp;startMinuteIntraday=0&amp;endDateIntraday=2020%2F04%2F11&amp;endHourIntraday=11&amp;endMinuteIntraday=0" htmlTables="1" htmlFormat="all"/>
  </connection>
  <connection id="119" name="Connection290" type="4" refreshedVersion="6" background="1" saveData="1">
    <webPr xl2000="1" url="https://fclm-portal.amazon.com/ppa/inspect/node/csv?nodeType=DS&amp;warehouseId=DDC4&amp;maxIntradayDays=1&amp;spanType=Intraday&amp;startDateIntraday=2020%2F07%2F20&amp;startHourIntraday=8&amp;startMinuteIntraday=0&amp;endDateIntraday=2020%2F07%2F20&amp;endHourIntraday=9&amp;endMinuteIntraday=0" htmlTables="1" htmlFormat="all"/>
  </connection>
  <connection id="120" name="Connection292" type="4" refreshedVersion="6" background="1" saveData="1">
    <webPr xl2000="1" url="https://fclm-portal.amazon.com/ppa/inspect/node/csv?nodeType=DS&amp;warehouseId=DDC4&amp;maxIntradayDays=1&amp;spanType=Intraday&amp;startDateIntraday=2020%2F07%2F19&amp;startHourIntraday=8&amp;startMinuteIntraday=0&amp;endDateIntraday=2020%2F07%2F19&amp;endHourIntraday=9&amp;endMinuteIntraday=0" htmlTables="1" htmlFormat="all"/>
  </connection>
  <connection id="121" name="Connection294" type="4" refreshedVersion="6" background="1" saveData="1">
    <webPr xl2000="1" url="https://fclm-portal.amazon.com/ppa/inspect/node/csv?nodeType=DS&amp;warehouseId=DDC4&amp;maxIntradayDays=1&amp;spanType=Intraday&amp;startDateIntraday=2020%2F07%2F19&amp;startHourIntraday=8&amp;startMinuteIntraday=0&amp;endDateIntraday=2020%2F07%2F19&amp;endHourIntraday=9&amp;endMinuteIntraday=0" htmlTables="1" htmlFormat="all"/>
  </connection>
  <connection id="122" name="Connection296" type="4" refreshedVersion="6" background="1" saveData="1">
    <webPr xl2000="1" url="https://fclm-portal.amazon.com/ppa/inspect/node/csv?nodeType=DS&amp;warehouseId=DDC4&amp;maxIntradayDays=1&amp;spanType=Intraday&amp;startDateIntraday=2020%2F07%2F19&amp;startHourIntraday=8&amp;startMinuteIntraday=0&amp;endDateIntraday=2020%2F07%2F19&amp;endHourIntraday=9&amp;endMinuteIntraday=0" htmlTables="1" htmlFormat="all"/>
  </connection>
  <connection id="123" name="Connection297" type="4" refreshedVersion="6" background="1" saveData="1">
    <webPr xl2000="1" url="https://fclm-portal.amazon.com/ppa/inspect/node/csv?nodeType=DS&amp;warehouseId=DDC4&amp;maxIntradayDays=1&amp;spanType=Intraday&amp;startDateIntraday=2020%2F07%2F19&amp;startHourIntraday=8&amp;startMinuteIntraday=0&amp;endDateIntraday=2020%2F07%2F19&amp;endHourIntraday=9&amp;endMinuteIntraday=0" htmlTables="1" htmlFormat="all"/>
  </connection>
  <connection id="124" name="Connection298" type="4" refreshedVersion="6" background="1" saveData="1">
    <webPr xl2000="1" url="https://fclm-portal.amazon.com/ppa/inspect/node/csv?nodeType=DS&amp;warehouseId=DDC4&amp;maxIntradayDays=1&amp;spanType=Intraday&amp;startDateIntraday=2020%2F07%2F19&amp;startHourIntraday=8&amp;startMinuteIntraday=0&amp;endDateIntraday=2020%2F07%2F19&amp;endHourIntraday=9&amp;endMinuteIntraday=0" htmlTables="1" htmlFormat="all"/>
  </connection>
  <connection id="125" name="Connection299" type="4" refreshedVersion="6" background="1" saveData="1">
    <webPr xl2000="1" url="https://fclm-portal.amazon.com/ppa/inspect/node/csv?nodeType=DS&amp;warehouseId=DDC4&amp;maxIntradayDays=1&amp;spanType=Intraday&amp;startDateIntraday=2020%2F07%2F19&amp;startHourIntraday=7&amp;startMinuteIntraday=0&amp;endDateIntraday=2020%2F07%2F19&amp;endHourIntraday=8&amp;endMinuteIntraday=0" htmlTables="1" htmlFormat="all"/>
  </connection>
  <connection id="126" name="Connection3" type="4" refreshedVersion="6" background="1" saveData="1">
    <webPr xl2000="1" url="https://fclm-portal.amazon.com/ppa/inspect/node/csv?nodeType=DS&amp;warehouseId=DDC4&amp;maxIntradayDays=1&amp;spanType=Intraday&amp;startDateIntraday=2020%2F09%2F20&amp;startHourIntraday=11&amp;startMinuteIntraday=30&amp;endDateIntraday=2020%2F09%2F20&amp;endHourIntraday=14&amp;endMinuteIntraday=0" htmlTables="1" htmlFormat="all"/>
  </connection>
  <connection id="127" name="Connection30" type="4" refreshedVersion="6" background="1" saveData="1">
    <webPr xl2000="1" url="https://fclm-portal.amazon.com/ppa/inspect/node/csv?nodeType=DS&amp;warehouseId=DPD1&amp;maxIntradayDays=1&amp;spanType=Intraday&amp;startDateIntraday=2020%2F04%2F11&amp;startHourIntraday=10&amp;startMinuteIntraday=0&amp;endDateIntraday=2020%2F04%2F11&amp;endHourIntraday=11&amp;endMinuteIntraday=0" htmlTables="1" htmlFormat="all"/>
  </connection>
  <connection id="128" name="Connection300" type="4" refreshedVersion="6" background="1" saveData="1">
    <webPr xl2000="1" url="https://fclm-portal.amazon.com/ppa/inspect/node/csv?nodeType=DS&amp;warehouseId=DDC4&amp;maxIntradayDays=1&amp;spanType=Intraday&amp;startDateIntraday=2020%2F07%2F19&amp;startHourIntraday=6&amp;startMinuteIntraday=0&amp;endDateIntraday=2020%2F07%2F19&amp;endHourIntraday=7&amp;endMinuteIntraday=0" htmlTables="1" htmlFormat="all"/>
  </connection>
  <connection id="129" name="Connection301" type="4" refreshedVersion="6" background="1" saveData="1">
    <webPr xl2000="1" url="https://fclm-portal.amazon.com/ppa/inspect/node/csv?nodeType=DS&amp;warehouseId=DDC4&amp;maxIntradayDays=1&amp;spanType=Intraday&amp;startDateIntraday=2020%2F07%2F21&amp;startHourIntraday=4&amp;startMinuteIntraday=0&amp;endDateIntraday=2020%2F07%2F21&amp;endHourIntraday=5&amp;endMinuteIntraday=0" htmlTables="1" htmlFormat="all"/>
  </connection>
  <connection id="130" name="Connection302" type="4" refreshedVersion="6" background="1" saveData="1">
    <webPr xl2000="1" url="https://fclm-portal.amazon.com/ppa/inspect/node/csv?nodeType=DS&amp;warehouseId=DDC4&amp;maxIntradayDays=1&amp;spanType=Intraday&amp;startDateIntraday=2020%2F07%2F21&amp;startHourIntraday=6&amp;startMinuteIntraday=0&amp;endDateIntraday=2020%2F07%2F21&amp;endHourIntraday=7&amp;endMinuteIntraday=0" htmlTables="1" htmlFormat="all"/>
  </connection>
  <connection id="131" name="Connection303" type="4" refreshedVersion="6" background="1" saveData="1">
    <webPr xl2000="1" url="https://fclm-portal.amazon.com/ppa/inspect/node/csv?nodeType=DS&amp;warehouseId=DDC4&amp;maxIntradayDays=1&amp;spanType=Intraday&amp;startDateIntraday=2020%2F07%2F21&amp;startHourIntraday=4&amp;startMinuteIntraday=0&amp;endDateIntraday=2020%2F07%2F21&amp;endHourIntraday=5&amp;endMinuteIntraday=0" htmlTables="1" htmlFormat="all"/>
  </connection>
  <connection id="132" name="Connection304" type="4" refreshedVersion="6" background="1" saveData="1">
    <webPr xl2000="1" url="https://fclm-portal.amazon.com/ppa/inspect/node/csv?nodeType=DS&amp;warehouseId=DDC4&amp;maxIntradayDays=1&amp;spanType=Intraday&amp;startDateIntraday=2020%2F07%2F21&amp;startHourIntraday=4&amp;startMinuteIntraday=0&amp;endDateIntraday=2020%2F07%2F21&amp;endHourIntraday=5&amp;endMinuteIntraday=0" htmlTables="1" htmlFormat="all"/>
  </connection>
  <connection id="133" name="Connection305" type="4" refreshedVersion="6" background="1" saveData="1">
    <webPr xl2000="1" url="https://fclm-portal.amazon.com/ppa/inspect/node/csv?nodeType=DS&amp;warehouseId=DDC4&amp;maxIntradayDays=1&amp;spanType=Intraday&amp;startDateIntraday=2020%2F07%2F21&amp;startHourIntraday=4&amp;startMinuteIntraday=0&amp;endDateIntraday=2020%2F07%2F21&amp;endHourIntraday=5&amp;endMinuteIntraday=0" htmlTables="1" htmlFormat="all"/>
  </connection>
  <connection id="134" name="Connection306" type="4" refreshedVersion="6" background="1" saveData="1">
    <webPr xl2000="1" url="https://fclm-portal.amazon.com/ppa/inspect/node/csv?nodeType=DS&amp;warehouseId=DDC4&amp;maxIntradayDays=1&amp;spanType=Intraday&amp;startDateIntraday=2020%2F07%2F21&amp;startHourIntraday=4&amp;startMinuteIntraday=0&amp;endDateIntraday=2020%2F07%2F21&amp;endHourIntraday=5&amp;endMinuteIntraday=0" htmlTables="1" htmlFormat="all"/>
  </connection>
  <connection id="135" name="Connection307" type="4" refreshedVersion="6" background="1" saveData="1">
    <webPr xl2000="1" url="https://fclm-portal.amazon.com/ppa/inspect/node/csv?nodeType=DS&amp;warehouseId=DDC4&amp;maxIntradayDays=1&amp;spanType=Intraday&amp;startDateIntraday=2020%2F07%2F21&amp;startHourIntraday=4&amp;startMinuteIntraday=0&amp;endDateIntraday=2020%2F07%2F21&amp;endHourIntraday=5&amp;endMinuteIntraday=0" htmlTables="1" htmlFormat="all"/>
  </connection>
  <connection id="136" name="Connection308" type="4" refreshedVersion="6" background="1" saveData="1">
    <webPr xl2000="1" url="https://fclm-portal.amazon.com/ppa/inspect/node/csv?nodeType=DS&amp;warehouseId=DDC4&amp;maxIntradayDays=1&amp;spanType=Intraday&amp;startDateIntraday=2020%2F07%2F21&amp;startHourIntraday=5&amp;startMinuteIntraday=0&amp;endDateIntraday=2020%2F07%2F21&amp;endHourIntraday=6&amp;endMinuteIntraday=0" htmlTables="1" htmlFormat="all"/>
  </connection>
  <connection id="137" name="Connection309" type="4" refreshedVersion="6" background="1" saveData="1">
    <webPr xl2000="1" url="https://fclm-portal.amazon.com/ppa/inspect/node/csv?nodeType=DS&amp;warehouseId=DDC4&amp;maxIntradayDays=1&amp;spanType=Intraday&amp;startDateIntraday=2020%2F07%2F21&amp;startHourIntraday=3&amp;startMinuteIntraday=0&amp;endDateIntraday=2020%2F07%2F21&amp;endHourIntraday=4&amp;endMinuteIntraday=0" htmlTables="1" htmlFormat="all"/>
  </connection>
  <connection id="138" name="Connection31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139" name="Connection310" type="4" refreshedVersion="6" background="1" saveData="1">
    <webPr xl2000="1" url="https://fclm-portal.amazon.com/ppa/inspect/node/csv?nodeType=DS&amp;warehouseId=DDC4&amp;maxIntradayDays=1&amp;spanType=Intraday&amp;startDateIntraday=2020%2F07%2F21&amp;startHourIntraday=2&amp;startMinuteIntraday=0&amp;endDateIntraday=2020%2F07%2F21&amp;endHourIntraday=3&amp;endMinuteIntraday=0" htmlTables="1" htmlFormat="all"/>
  </connection>
  <connection id="140" name="Connection311" type="4" refreshedVersion="6" background="1" saveData="1">
    <webPr xl2000="1" url="https://fclm-portal.amazon.com/ppa/inspect/node/csv?nodeType=DS&amp;warehouseId=DDC4&amp;maxIntradayDays=1&amp;spanType=Intraday&amp;startDateIntraday=2020%2F07%2F21&amp;startHourIntraday=2&amp;startMinuteIntraday=0&amp;endDateIntraday=2020%2F07%2F21&amp;endHourIntraday=3&amp;endMinuteIntraday=0" htmlTables="1" htmlFormat="all"/>
  </connection>
  <connection id="141" name="Connection312" type="4" refreshedVersion="6" background="1" saveData="1">
    <webPr xl2000="1" url="https://fclm-portal.amazon.com/ppa/inspect/node/csv?nodeType=DS&amp;warehouseId=DDC4&amp;maxIntradayDays=1&amp;spanType=Intraday&amp;startDateIntraday=2020%2F07%2F21&amp;startHourIntraday=3&amp;startMinuteIntraday=0&amp;endDateIntraday=2020%2F07%2F21&amp;endHourIntraday=4&amp;endMinuteIntraday=0" htmlTables="1" htmlFormat="all"/>
  </connection>
  <connection id="142" name="Connection313" type="4" refreshedVersion="6" background="1" saveData="1">
    <webPr xl2000="1" url="https://fclm-portal.amazon.com/ppa/inspect/node/csv?nodeType=DS&amp;warehouseId=DDC4&amp;maxIntradayDays=1&amp;spanType=Intraday&amp;startDateIntraday=2020%2F07%2F21&amp;startHourIntraday=4&amp;startMinuteIntraday=0&amp;endDateIntraday=2020%2F07%2F21&amp;endHourIntraday=5&amp;endMinuteIntraday=0" htmlTables="1" htmlFormat="all"/>
  </connection>
  <connection id="143" name="Connection314" type="4" refreshedVersion="6" background="1" saveData="1">
    <webPr xl2000="1" url="https://fclm-portal.amazon.com/ppa/inspect/node/csv?nodeType=DS&amp;warehouseId=DDC4&amp;maxIntradayDays=1&amp;spanType=Intraday&amp;startDateIntraday=2020%2F07%2F21&amp;startHourIntraday=2&amp;startMinuteIntraday=0&amp;endDateIntraday=2020%2F07%2F21&amp;endHourIntraday=3&amp;endMinuteIntraday=0" htmlTables="1" htmlFormat="all"/>
  </connection>
  <connection id="144" name="Connection315" type="4" refreshedVersion="6" background="1" saveData="1">
    <webPr xl2000="1" url="https://fclm-portal.amazon.com/ppa/inspect/node/csv?nodeType=DS&amp;warehouseId=DSE4&amp;maxIntradayDays=1&amp;spanType=Intraday&amp;startDateIntraday=2020%2F06%2F04&amp;startHourIntraday=6&amp;startMinuteIntraday=0&amp;endDateIntraday=2020%2F06%2F04&amp;endHourIntraday=7&amp;endMinuteIntraday=0" htmlTables="1" htmlFormat="all"/>
  </connection>
  <connection id="145" name="Connection316" type="4" refreshedVersion="6" background="1" saveData="1">
    <webPr xl2000="1" url="https://fclm-portal.amazon.com/ppa/inspect/node/csv?nodeType=DS&amp;warehouseId=DSE4&amp;maxIntradayDays=1&amp;spanType=Intraday&amp;startDateIntraday=2020%2F06%2F04&amp;startHourIntraday=7&amp;startMinuteIntraday=0&amp;endDateIntraday=2020%2F06%2F04&amp;endHourIntraday=8&amp;endMinuteIntraday=0" htmlTables="1" htmlFormat="all"/>
  </connection>
  <connection id="146" name="Connection317" type="4" refreshedVersion="6" background="1" saveData="1">
    <webPr xl2000="1" url="https://fclm-portal.amazon.com/ppa/inspect/node/csv?nodeType=DS&amp;warehouseId=DSE4&amp;maxIntradayDays=1&amp;spanType=Intraday&amp;startDateIntraday=2020%2F07%2F21&amp;startHourIntraday=6&amp;startMinuteIntraday=0&amp;endDateIntraday=2020%2F07%2F21&amp;endHourIntraday=7&amp;endMinuteIntraday=0" htmlTables="1" htmlFormat="all"/>
  </connection>
  <connection id="147" name="Connection318" type="4" refreshedVersion="6" background="1" saveData="1">
    <webPr xl2000="1" url="https://fclm-portal.amazon.com/ppa/inspect/node/csv?nodeType=DS&amp;warehouseId=DSE4&amp;maxIntradayDays=1&amp;spanType=Intraday&amp;startDateIntraday=2020%2F07%2F21&amp;startHourIntraday=6&amp;startMinuteIntraday=0&amp;endDateIntraday=2020%2F07%2F21&amp;endHourIntraday=7&amp;endMinuteIntraday=0" htmlTables="1" htmlFormat="all"/>
  </connection>
  <connection id="148" name="Connection319" type="4" refreshedVersion="6" background="1" saveData="1">
    <webPr xl2000="1" url="https://fclm-portal.amazon.com/ppa/inspect/node/csv?nodeType=DS&amp;warehouseId=DSE4&amp;maxIntradayDays=1&amp;spanType=Intraday&amp;startDateIntraday=2020%2F07%2F21&amp;startHourIntraday=6&amp;startMinuteIntraday=0&amp;endDateIntraday=2020%2F07%2F21&amp;endHourIntraday=7&amp;endMinuteIntraday=0" htmlTables="1" htmlFormat="all"/>
  </connection>
  <connection id="149" name="Connection32" type="4" refreshedVersion="6" background="1" saveData="1">
    <webPr xl2000="1" url="https://fclm-portal.amazon.com/ppa/inspect/node/csv?nodeType=DS&amp;warehouseId=DPD1&amp;maxIntradayDays=1&amp;spanType=Intraday&amp;startDateIntraday=2020%2F04%2F11&amp;startHourIntraday=9&amp;startMinuteIntraday=0&amp;endDateIntraday=2020%2F04%2F11&amp;endHourIntraday=10&amp;endMinuteIntraday=0" htmlTables="1" htmlFormat="all"/>
  </connection>
  <connection id="150" name="Connection320" type="4" refreshedVersion="6" background="1" saveData="1">
    <webPr xl2000="1" url="https://fclm-portal.amazon.com/ppa/inspect/node/csv?nodeType=DS&amp;warehouseId=DSE4&amp;maxIntradayDays=1&amp;spanType=Intraday&amp;startDateIntraday=2020%2F07%2F21&amp;startHourIntraday=7&amp;startMinuteIntraday=0&amp;endDateIntraday=2020%2F07%2F21&amp;endHourIntraday=8&amp;endMinuteIntraday=0" htmlTables="1" htmlFormat="all"/>
  </connection>
  <connection id="151" name="Connection321" type="4" refreshedVersion="6" background="1" saveData="1">
    <webPr xl2000="1" url="https://fclm-portal.amazon.com/ppa/inspect/node/csv?nodeType=DS&amp;warehouseId=DSE4&amp;maxIntradayDays=1&amp;spanType=Intraday&amp;startDateIntraday=2020%2F07%2F21&amp;startHourIntraday=7&amp;startMinuteIntraday=0&amp;endDateIntraday=2020%2F07%2F21&amp;endHourIntraday=8&amp;endMinuteIntraday=0" htmlTables="1" htmlFormat="all"/>
  </connection>
  <connection id="152" name="Connection322" type="4" refreshedVersion="6" background="1" saveData="1">
    <webPr xl2000="1" url="https://fclm-portal.amazon.com/ppa/inspect/node/csv?nodeType=DS&amp;warehouseId=DDC4&amp;maxIntradayDays=1&amp;spanType=Intraday&amp;startDateIntraday=2020%2F07%2F21&amp;startHourIntraday=7&amp;startMinuteIntraday=0&amp;endDateIntraday=2020%2F07%2F21&amp;endHourIntraday=8&amp;endMinuteIntraday=0" htmlTables="1" htmlFormat="all"/>
  </connection>
  <connection id="153" name="Connection323" type="4" refreshedVersion="6" background="1" saveData="1">
    <webPr xl2000="1" url="https://fclm-portal.amazon.com/ppa/inspect/node/csv?nodeType=DS&amp;warehouseId=DDC4&amp;maxIntradayDays=1&amp;spanType=Intraday&amp;startDateIntraday=2020%2F07%2F21&amp;startHourIntraday=6&amp;startMinuteIntraday=0&amp;endDateIntraday=2020%2F07%2F21&amp;endHourIntraday=7&amp;endMinuteIntraday=0" htmlTables="1" htmlFormat="all"/>
  </connection>
  <connection id="154" name="Connection324" type="4" refreshedVersion="6" background="1" saveData="1">
    <webPr xl2000="1" url="https://fclm-portal.amazon.com/ppa/inspect/node/csv?nodeType=DS&amp;warehouseId=DDC4&amp;maxIntradayDays=1&amp;spanType=Intraday&amp;startDateIntraday=2020%2F07%2F21&amp;startHourIntraday=8&amp;startMinuteIntraday=0&amp;endDateIntraday=2020%2F07%2F21&amp;endHourIntraday=9&amp;endMinuteIntraday=0" htmlTables="1" htmlFormat="all"/>
  </connection>
  <connection id="155" name="Connection325" type="4" refreshedVersion="6" background="1" saveData="1">
    <webPr xl2000="1" url="https://fclm-portal.amazon.com/ppa/inspect/node/csv?nodeType=DS&amp;warehouseId=DDC4&amp;maxIntradayDays=1&amp;spanType=Intraday&amp;startDateIntraday=2020%2F07%2F21&amp;startHourIntraday=9&amp;startMinuteIntraday=0&amp;endDateIntraday=2020%2F07%2F21&amp;endHourIntraday=10&amp;endMinuteIntraday=0" htmlTables="1" htmlFormat="all"/>
  </connection>
  <connection id="156" name="Connection326" type="4" refreshedVersion="6" background="1" saveData="1">
    <webPr xl2000="1" url="https://fclm-portal.amazon.com/ppa/inspect/node/csv?nodeType=DS&amp;warehouseId=DDC4&amp;maxIntradayDays=1&amp;spanType=Intraday&amp;startDateIntraday=2020%2F07%2F21&amp;startHourIntraday=11&amp;startMinuteIntraday=0&amp;endDateIntraday=2020%2F07%2F21&amp;endHourIntraday=12&amp;endMinuteIntraday=0" htmlTables="1" htmlFormat="all"/>
  </connection>
  <connection id="157" name="Connection327" type="4" refreshedVersion="6" background="1" saveData="1">
    <webPr xl2000="1" url="https://fclm-portal.amazon.com/ppa/inspect/node/csv?nodeType=DS&amp;warehouseId=DDC4&amp;maxIntradayDays=1&amp;spanType=Intraday&amp;startDateIntraday=2020%2F07%2F21&amp;startHourIntraday=17&amp;startMinuteIntraday=0&amp;endDateIntraday=2020%2F07%2F21&amp;endHourIntraday=18&amp;endMinuteIntraday=0" htmlTables="1" htmlFormat="all"/>
  </connection>
  <connection id="158" name="Connection328" type="4" refreshedVersion="6" background="1" saveData="1">
    <webPr xl2000="1" url="https://fclm-portal.amazon.com/ppa/inspect/node/csv?nodeType=DS&amp;warehouseId=DDC4&amp;maxIntradayDays=1&amp;spanType=Intraday&amp;startDateIntraday=2020%2F07%2F22&amp;startHourIntraday=20&amp;startMinuteIntraday=0&amp;endDateIntraday=2020%2F07%2F22&amp;endHourIntraday=21&amp;endMinuteIntraday=0" htmlTables="1" htmlFormat="all"/>
  </connection>
  <connection id="159" name="Connection329" type="4" refreshedVersion="6" background="1" saveData="1">
    <webPr xl2000="1" url="https://fclm-portal.amazon.com/ppa/inspect/node/csv?nodeType=DS&amp;warehouseId=DDC4&amp;maxIntradayDays=1&amp;spanType=Intraday&amp;startDateIntraday=2020%2F07%2F22&amp;startHourIntraday=2&amp;startMinuteIntraday=0&amp;endDateIntraday=2020%2F07%2F22&amp;endHourIntraday=3&amp;endMinuteIntraday=0" htmlTables="1" htmlFormat="all"/>
  </connection>
  <connection id="160" name="Connection33" type="4" refreshedVersion="6" background="1" saveData="1">
    <webPr xl2000="1" url="https://fclm-portal.amazon.com/ppa/inspect/node/csv?nodeType=DS&amp;warehouseId=DPD1&amp;maxIntradayDays=1&amp;spanType=Intraday&amp;startDateIntraday=2020%2F04%2F11&amp;startHourIntraday=21&amp;startMinuteIntraday=0&amp;endDateIntraday=2020%2F04%2F11&amp;endHourIntraday=22&amp;endMinuteIntraday=0" htmlTables="1" htmlFormat="all"/>
  </connection>
  <connection id="161" name="Connection330" type="4" refreshedVersion="6" background="1" saveData="1">
    <webPr xl2000="1" url="https://fclm-portal.amazon.com/ppa/inspect/node/csv?nodeType=DS&amp;warehouseId=DDC4&amp;maxIntradayDays=1&amp;spanType=Intraday&amp;startDateIntraday=2020%2F07%2F22&amp;startHourIntraday=3&amp;startMinuteIntraday=0&amp;endDateIntraday=2020%2F07%2F22&amp;endHourIntraday=4&amp;endMinuteIntraday=0" htmlTables="1" htmlFormat="all"/>
  </connection>
  <connection id="162" name="Connection331" type="4" refreshedVersion="6" background="1" saveData="1">
    <webPr xl2000="1" url="https://fclm-portal.amazon.com/ppa/inspect/node/csv?nodeType=DS&amp;warehouseId=DDC4&amp;maxIntradayDays=1&amp;spanType=Intraday&amp;startDateIntraday=2020%2F07%2F22&amp;startHourIntraday=4&amp;startMinuteIntraday=0&amp;endDateIntraday=2020%2F07%2F22&amp;endHourIntraday=5&amp;endMinuteIntraday=0" htmlTables="1" htmlFormat="all"/>
  </connection>
  <connection id="163" name="Connection332" type="4" refreshedVersion="6" background="1" saveData="1">
    <webPr xl2000="1" url="https://fclm-portal.amazon.com/ppa/inspect/node/csv?nodeType=DS&amp;warehouseId=DDC4&amp;maxIntradayDays=1&amp;spanType=Intraday&amp;startDateIntraday=2020%2F07%2F22&amp;startHourIntraday=5&amp;startMinuteIntraday=0&amp;endDateIntraday=2020%2F07%2F22&amp;endHourIntraday=6&amp;endMinuteIntraday=0" htmlTables="1" htmlFormat="all"/>
  </connection>
  <connection id="164" name="Connection333" type="4" refreshedVersion="6" background="1" saveData="1">
    <webPr xl2000="1" url="https://fclm-portal.amazon.com/ppa/inspect/node/csv?nodeType=DS&amp;warehouseId=DDC4&amp;maxIntradayDays=1&amp;spanType=Intraday&amp;startDateIntraday=2020%2F07%2F22&amp;startHourIntraday=6&amp;startMinuteIntraday=0&amp;endDateIntraday=2020%2F07%2F22&amp;endHourIntraday=7&amp;endMinuteIntraday=0" htmlTables="1" htmlFormat="all"/>
  </connection>
  <connection id="165" name="Connection334" type="4" refreshedVersion="6" background="1" saveData="1">
    <webPr xl2000="1" url="https://fclm-portal.amazon.com/ppa/inspect/node/csv?nodeType=DS&amp;warehouseId=DDC4&amp;maxIntradayDays=1&amp;spanType=Intraday&amp;startDateIntraday=2020%2F07%2F22&amp;startHourIntraday=7&amp;startMinuteIntraday=0&amp;endDateIntraday=2020%2F07%2F22&amp;endHourIntraday=8&amp;endMinuteIntraday=0" htmlTables="1" htmlFormat="all"/>
  </connection>
  <connection id="166" name="Connection335" type="4" refreshedVersion="6" background="1" saveData="1">
    <webPr xl2000="1" url="https://fclm-portal.amazon.com/ppa/inspect/node/csv?nodeType=DS&amp;warehouseId=DDC4&amp;maxIntradayDays=1&amp;spanType=Intraday&amp;startDateIntraday=2020%2F07%2F22&amp;startHourIntraday=8&amp;startMinuteIntraday=0&amp;endDateIntraday=2020%2F07%2F22&amp;endHourIntraday=9&amp;endMinuteIntraday=0" htmlTables="1" htmlFormat="all"/>
  </connection>
  <connection id="167" name="Connection336" type="4" refreshedVersion="6" background="1" saveData="1">
    <webPr xl2000="1" url="https://fclm-portal.amazon.com/ppa/inspect/node/csv?nodeType=DS&amp;warehouseId=DDC4&amp;maxIntradayDays=1&amp;spanType=Intraday&amp;startDateIntraday=2020%2F07%2F22&amp;startHourIntraday=2&amp;startMinuteIntraday=0&amp;endDateIntraday=2020%2F07%2F22&amp;endHourIntraday=3&amp;endMinuteIntraday=0" htmlTables="1" htmlFormat="all"/>
  </connection>
  <connection id="168" name="Connection337" type="4" refreshedVersion="6" background="1" saveData="1">
    <webPr xl2000="1" url="https://fclm-portal.amazon.com/ppa/inspect/node/csv?nodeType=DS&amp;warehouseId=DDC4&amp;maxIntradayDays=1&amp;spanType=Intraday&amp;startDateIntraday=2020%2F07%2F22&amp;startHourIntraday=6&amp;startMinuteIntraday=0&amp;endDateIntraday=2020%2F07%2F22&amp;endHourIntraday=7&amp;endMinuteIntraday=0" htmlTables="1" htmlFormat="all"/>
  </connection>
  <connection id="169" name="Connection338" type="4" refreshedVersion="6" background="1" saveData="1">
    <webPr xl2000="1" url="https://fclm-portal.amazon.com/ppa/inspect/node/csv?nodeType=DS&amp;warehouseId=DDC4&amp;maxIntradayDays=1&amp;spanType=Intraday&amp;startDateIntraday=2020%2F07%2F22&amp;startHourIntraday=7&amp;startMinuteIntraday=0&amp;endDateIntraday=2020%2F07%2F22&amp;endHourIntraday=8&amp;endMinuteIntraday=0" htmlTables="1" htmlFormat="all"/>
  </connection>
  <connection id="170" name="Connection339" type="4" refreshedVersion="6" background="1" saveData="1">
    <webPr xl2000="1" url="https://fclm-portal.amazon.com/ppa/inspect/node/csv?nodeType=DS&amp;warehouseId=DDC4&amp;maxIntradayDays=1&amp;spanType=Intraday&amp;startDateIntraday=2020%2F07%2F22&amp;startHourIntraday=8&amp;startMinuteIntraday=0&amp;endDateIntraday=2020%2F07%2F22&amp;endHourIntraday=9&amp;endMinuteIntraday=0" htmlTables="1" htmlFormat="all"/>
  </connection>
  <connection id="171" name="Connection34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172" name="Connection340" type="4" refreshedVersion="6" background="1" saveData="1">
    <webPr xl2000="1" url="https://fclm-portal.amazon.com/ppa/inspect/node/csv?nodeType=DS&amp;warehouseId=DDC4&amp;maxIntradayDays=1&amp;spanType=Intraday&amp;startDateIntraday=2020%2F07%2F30&amp;startHourIntraday=17&amp;startMinuteIntraday=0&amp;endDateIntraday=2020%2F07%2F30&amp;endHourIntraday=18&amp;endMinuteIntraday=0" htmlTables="1" htmlFormat="all"/>
  </connection>
  <connection id="173" name="Connection341" type="4" refreshedVersion="6" background="1" saveData="1">
    <webPr xl2000="1" url="https://fclm-portal.amazon.com/ppa/inspect/node/csv?nodeType=DS&amp;warehouseId=DDC4&amp;maxIntradayDays=1&amp;spanType=Intraday&amp;startDateIntraday=2020%2F07%2F30&amp;startHourIntraday=18&amp;startMinuteIntraday=0&amp;endDateIntraday=2020%2F07%2F30&amp;endHourIntraday=19&amp;endMinuteIntraday=0" htmlTables="1" htmlFormat="all"/>
  </connection>
  <connection id="174" name="Connection342" type="4" refreshedVersion="6" background="1" saveData="1">
    <webPr xl2000="1" url="https://fclm-portal.amazon.com/ppa/inspect/node/csv?nodeType=DS&amp;warehouseId=DDC4&amp;maxIntradayDays=1&amp;spanType=Intraday&amp;startDateIntraday=2020%2F07%2F30&amp;startHourIntraday=19&amp;startMinuteIntraday=0&amp;endDateIntraday=2020%2F07%2F30&amp;endHourIntraday=20&amp;endMinuteIntraday=0" htmlTables="1" htmlFormat="all"/>
  </connection>
  <connection id="175" name="Connection343" type="4" refreshedVersion="6" background="1" saveData="1">
    <webPr xl2000="1" url="https://fclm-portal.amazon.com/ppa/inspect/node/csv?nodeType=DS&amp;warehouseId=DDC4&amp;maxIntradayDays=1&amp;spanType=Intraday&amp;startDateIntraday=2020%2F07%2F30&amp;startHourIntraday=20&amp;startMinuteIntraday=0&amp;endDateIntraday=2020%2F07%2F30&amp;endHourIntraday=21&amp;endMinuteIntraday=0" htmlTables="1" htmlFormat="all"/>
  </connection>
  <connection id="176" name="Connection344" type="4" refreshedVersion="6" background="1" saveData="1">
    <webPr xl2000="1" url="https://fclm-portal.amazon.com/ppa/inspect/node/csv?nodeType=DS&amp;warehouseId=DDC4&amp;maxIntradayDays=1&amp;spanType=Intraday&amp;startDateIntraday=2020%2F07%2F30&amp;startHourIntraday=21&amp;startMinuteIntraday=0&amp;endDateIntraday=2020%2F07%2F30&amp;endHourIntraday=22&amp;endMinuteIntraday=0" htmlTables="1" htmlFormat="all"/>
  </connection>
  <connection id="177" name="Connection345" type="4" refreshedVersion="6" background="1" saveData="1">
    <webPr xl2000="1" url="https://fclm-portal.amazon.com/ppa/inspect/node/csv?nodeType=DS&amp;warehouseId=DDC4&amp;maxIntradayDays=1&amp;spanType=Intraday&amp;startDateIntraday=2020%2F07%2F30&amp;startHourIntraday=22&amp;startMinuteIntraday=0&amp;endDateIntraday=2020%2F07%2F30&amp;endHourIntraday=23&amp;endMinuteIntraday=0" htmlTables="1" htmlFormat="all"/>
  </connection>
  <connection id="178" name="Connection346" type="4" refreshedVersion="6" background="1" saveData="1">
    <webPr xl2000="1" url="https://fclm-portal.amazon.com/ppa/inspect/node/csv?nodeType=DS&amp;warehouseId=DDC4&amp;maxIntradayDays=1&amp;spanType=Intraday&amp;startDateIntraday=2020%2F07%2F30&amp;startHourIntraday=23&amp;startMinuteIntraday=0&amp;endDateIntraday=2020%2F07%2F30&amp;endHourIntraday=0&amp;endMinuteIntraday=0" htmlTables="1" htmlFormat="all"/>
  </connection>
  <connection id="179" name="Connection347" type="4" refreshedVersion="6" background="1" saveData="1">
    <webPr xl2000="1" url="https://fclm-portal.amazon.com/ppa/inspect/node/csv?nodeType=DS&amp;warehouseId=DDC4&amp;maxIntradayDays=1&amp;spanType=Intraday&amp;startDateIntraday=2020%2F07%2F30&amp;startHourIntraday=5&amp;startMinuteIntraday=0&amp;endDateIntraday=2020%2F07%2F30&amp;endHourIntraday=6&amp;endMinuteIntraday=0" htmlTables="1" htmlFormat="all"/>
  </connection>
  <connection id="180" name="Connection348" type="4" refreshedVersion="6" background="1" saveData="1">
    <webPr xl2000="1" url="https://fclm-portal.amazon.com/ppa/inspect/node/csv?nodeType=DS&amp;warehouseId=DDC4&amp;maxIntradayDays=1&amp;spanType=Intraday&amp;startDateIntraday=2020%2F07%2F30&amp;startHourIntraday=8&amp;startMinuteIntraday=0&amp;endDateIntraday=2020%2F07%2F30&amp;endHourIntraday=9&amp;endMinuteIntraday=0" htmlTables="1" htmlFormat="all"/>
  </connection>
  <connection id="181" name="Connection349" type="4" refreshedVersion="6" background="1" saveData="1">
    <webPr xl2000="1" url="https://fclm-portal.amazon.com/ppa/inspect/node/csv?nodeType=DS&amp;warehouseId=DDC4&amp;maxIntradayDays=1&amp;spanType=Intraday&amp;startDateIntraday=2020%2F07%2F30&amp;startHourIntraday=1&amp;startMinuteIntraday=0&amp;endDateIntraday=2020%2F07%2F30&amp;endHourIntraday=2&amp;endMinuteIntraday=0" htmlTables="1" htmlFormat="all"/>
  </connection>
  <connection id="182" name="Connection35" type="4" refreshedVersion="6" background="1" saveData="1">
    <webPr xl2000="1" url="https://fclm-portal.amazon.com/ppa/inspect/node/csv?nodeType=DS&amp;warehouseId=DPD1&amp;maxIntradayDays=1&amp;spanType=Intraday&amp;startDateIntraday=2020%2F04%2F11&amp;startHourIntraday=22&amp;startMinuteIntraday=0&amp;endDateIntraday=2020%2F04%2F11&amp;endHourIntraday=23&amp;endMinuteIntraday=0" htmlTables="1" htmlFormat="all"/>
  </connection>
  <connection id="183" name="Connection350" type="4" refreshedVersion="6" background="1" saveData="1">
    <webPr xl2000="1" url="https://fclm-portal.amazon.com/ppa/inspect/node/csv?nodeType=DS&amp;warehouseId=DDC4&amp;maxIntradayDays=1&amp;spanType=Intraday&amp;startDateIntraday=2020%2F07%2F30&amp;startHourIntraday=2&amp;startMinuteIntraday=0&amp;endDateIntraday=2020%2F07%2F30&amp;endHourIntraday=3&amp;endMinuteIntraday=0" htmlTables="1" htmlFormat="all"/>
  </connection>
  <connection id="184" name="Connection351" type="4" refreshedVersion="6" background="1" saveData="1">
    <webPr xl2000="1" url="https://fclm-portal.amazon.com/ppa/inspect/node/csv?nodeType=DS&amp;warehouseId=DDC4&amp;maxIntradayDays=1&amp;spanType=Intraday&amp;startDateIntraday=2020%2F07%2F30&amp;startHourIntraday=3&amp;startMinuteIntraday=0&amp;endDateIntraday=2020%2F07%2F30&amp;endHourIntraday=4&amp;endMinuteIntraday=0" htmlTables="1" htmlFormat="all"/>
  </connection>
  <connection id="185" name="Connection352" type="4" refreshedVersion="6" background="1" saveData="1">
    <webPr xl2000="1" url="https://fclm-portal.amazon.com/ppa/inspect/node/csv?nodeType=DS&amp;warehouseId=DDC4&amp;maxIntradayDays=1&amp;spanType=Intraday&amp;startDateIntraday=2020%2F07%2F30&amp;startHourIntraday=4&amp;startMinuteIntraday=0&amp;endDateIntraday=2020%2F07%2F30&amp;endHourIntraday=5&amp;endMinuteIntraday=0" htmlTables="1" htmlFormat="all"/>
  </connection>
  <connection id="186" name="Connection353" type="4" refreshedVersion="6" background="1" saveData="1">
    <webPr xl2000="1" url="https://fclm-portal.amazon.com/ppa/inspect/node/csv?nodeType=DS&amp;warehouseId=DDC4&amp;maxIntradayDays=1&amp;spanType=Intraday&amp;startDateIntraday=2020%2F07%2F30&amp;startHourIntraday=5&amp;startMinuteIntraday=0&amp;endDateIntraday=2020%2F07%2F30&amp;endHourIntraday=6&amp;endMinuteIntraday=0" htmlTables="1" htmlFormat="all"/>
  </connection>
  <connection id="187" name="Connection354" type="4" refreshedVersion="6" background="1" saveData="1">
    <webPr xl2000="1" url="https://fclm-portal.amazon.com/ppa/inspect/node/csv?nodeType=DS&amp;warehouseId=DDC4&amp;maxIntradayDays=1&amp;spanType=Intraday&amp;startDateIntraday=2020%2F07%2F30&amp;startHourIntraday=22&amp;startMinuteIntraday=0&amp;endDateIntraday=2020%2F07%2F30&amp;endHourIntraday=23&amp;endMinuteIntraday=0" htmlTables="1" htmlFormat="all"/>
  </connection>
  <connection id="188" name="Connection355" type="4" refreshedVersion="6" background="1" saveData="1">
    <webPr xl2000="1" url="https://fclm-portal.amazon.com/ppa/inspect/node/csv?nodeType=DS&amp;warehouseId=DDC4&amp;maxIntradayDays=1&amp;spanType=Intraday&amp;startDateIntraday=2020%2F07%2F30&amp;startHourIntraday=5&amp;startMinuteIntraday=0&amp;endDateIntraday=2020%2F07%2F30&amp;endHourIntraday=6&amp;endMinuteIntraday=0" htmlTables="1" htmlFormat="all"/>
  </connection>
  <connection id="189" name="Connection356" type="4" refreshedVersion="6" background="1" saveData="1">
    <webPr xl2000="1" url="https://fclm-portal.amazon.com/ppa/inspect/node/csv?nodeType=DS&amp;warehouseId=DDC4&amp;maxIntradayDays=1&amp;spanType=Intraday&amp;startDateIntraday=2020%2F07%2F30&amp;startHourIntraday=2&amp;startMinuteIntraday=0&amp;endDateIntraday=2020%2F07%2F30&amp;endHourIntraday=3&amp;endMinuteIntraday=0" htmlTables="1" htmlFormat="all"/>
  </connection>
  <connection id="190" name="Connection357" type="4" refreshedVersion="6" background="1" saveData="1">
    <webPr xl2000="1" url="https://fclm-portal.amazon.com/ppa/inspect/node/csv?nodeType=DS&amp;warehouseId=DDC4&amp;maxIntradayDays=1&amp;spanType=Intraday&amp;startDateIntraday=2020%2F07%2F30&amp;startHourIntraday=3&amp;startMinuteIntraday=0&amp;endDateIntraday=2020%2F07%2F30&amp;endHourIntraday=4&amp;endMinuteIntraday=0" htmlTables="1" htmlFormat="all"/>
  </connection>
  <connection id="191" name="Connection358" type="4" refreshedVersion="6" background="1" saveData="1">
    <webPr xl2000="1" url="https://fclm-portal.amazon.com/ppa/inspect/node/csv?nodeType=DS&amp;warehouseId=DDC4&amp;maxIntradayDays=1&amp;spanType=Intraday&amp;startDateIntraday=2020%2F07%2F30&amp;startHourIntraday=18&amp;startMinuteIntraday=0&amp;endDateIntraday=2020%2F07%2F30&amp;endHourIntraday=19&amp;endMinuteIntraday=0" htmlTables="1" htmlFormat="all"/>
  </connection>
  <connection id="192" name="Connection359" type="4" refreshedVersion="6" background="1" saveData="1">
    <webPr xl2000="1" url="https://fclm-portal.amazon.com/ppa/inspect/node/csv?nodeType=DS&amp;warehouseId=DDC4&amp;maxIntradayDays=1&amp;spanType=Intraday&amp;startDateIntraday=2020%2F07%2F31&amp;startHourIntraday=2&amp;startMinuteIntraday=0&amp;endDateIntraday=2020%2F07%2F31&amp;endHourIntraday=3&amp;endMinuteIntraday=0" htmlTables="1" htmlFormat="all"/>
  </connection>
  <connection id="193" name="Connection36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194" name="Connection360" type="4" refreshedVersion="6" background="1" saveData="1">
    <webPr xl2000="1" url="https://fclm-portal.amazon.com/ppa/inspect/node/csv?nodeType=DS&amp;warehouseId=DDC4&amp;maxIntradayDays=1&amp;spanType=Intraday&amp;startDateIntraday=2020%2F07%2F31&amp;startHourIntraday=3&amp;startMinuteIntraday=0&amp;endDateIntraday=2020%2F07%2F31&amp;endHourIntraday=4&amp;endMinuteIntraday=0" htmlTables="1" htmlFormat="all"/>
  </connection>
  <connection id="195" name="Connection361" type="4" refreshedVersion="6" background="1" saveData="1">
    <webPr xl2000="1" url="https://fclm-portal.amazon.com/ppa/inspect/node/csv?nodeType=DS&amp;warehouseId=DDC4&amp;maxIntradayDays=1&amp;spanType=Intraday&amp;startDateIntraday=2020%2F07%2F31&amp;startHourIntraday=4&amp;startMinuteIntraday=0&amp;endDateIntraday=2020%2F07%2F31&amp;endHourIntraday=5&amp;endMinuteIntraday=0" htmlTables="1" htmlFormat="all"/>
  </connection>
  <connection id="196" name="Connection362" type="4" refreshedVersion="6" background="1" saveData="1">
    <webPr xl2000="1" url="https://fclm-portal.amazon.com/ppa/inspect/node/csv?nodeType=DS&amp;warehouseId=DDC4&amp;maxIntradayDays=1&amp;spanType=Intraday&amp;startDateIntraday=2020%2F07%2F31&amp;startHourIntraday=5&amp;startMinuteIntraday=0&amp;endDateIntraday=2020%2F07%2F31&amp;endHourIntraday=6&amp;endMinuteIntraday=0" htmlTables="1" htmlFormat="all"/>
  </connection>
  <connection id="197" name="Connection363" type="4" refreshedVersion="6" background="1" saveData="1">
    <webPr xl2000="1" url="https://fclm-portal.amazon.com/ppa/inspect/node/csv?nodeType=DS&amp;warehouseId=DDC4&amp;maxIntradayDays=1&amp;spanType=Intraday&amp;startDateIntraday=2020%2F07%2F31&amp;startHourIntraday=2&amp;startMinuteIntraday=0&amp;endDateIntraday=2020%2F07%2F31&amp;endHourIntraday=3&amp;endMinuteIntraday=0" htmlTables="1" htmlFormat="all"/>
  </connection>
  <connection id="198" name="Connection364" type="4" refreshedVersion="6" background="1" saveData="1">
    <webPr xl2000="1" url="https://fclm-portal.amazon.com/ppa/inspect/node/csv?nodeType=DS&amp;warehouseId=DDC4&amp;maxIntradayDays=1&amp;spanType=Intraday&amp;startDateIntraday=2020%2F07%2F31&amp;startHourIntraday=3&amp;startMinuteIntraday=0&amp;endDateIntraday=2020%2F07%2F31&amp;endHourIntraday=4&amp;endMinuteIntraday=0" htmlTables="1" htmlFormat="all"/>
  </connection>
  <connection id="199" name="Connection365" type="4" refreshedVersion="6" background="1" saveData="1">
    <webPr xl2000="1" url="https://fclm-portal.amazon.com/ppa/inspect/node/csv?nodeType=DS&amp;warehouseId=DDC4&amp;maxIntradayDays=1&amp;spanType=Intraday&amp;startDateIntraday=2020%2F07%2F31&amp;startHourIntraday=4&amp;startMinuteIntraday=0&amp;endDateIntraday=2020%2F07%2F31&amp;endHourIntraday=5&amp;endMinuteIntraday=0" htmlTables="1" htmlFormat="all"/>
  </connection>
  <connection id="200" name="Connection366" type="4" refreshedVersion="6" background="1" saveData="1">
    <webPr xl2000="1" url="https://fclm-portal.amazon.com/ppa/inspect/node/csv?nodeType=DS&amp;warehouseId=DDC4&amp;maxIntradayDays=1&amp;spanType=Intraday&amp;startDateIntraday=2020%2F07%2F31&amp;startHourIntraday=5&amp;startMinuteIntraday=0&amp;endDateIntraday=2020%2F07%2F31&amp;endHourIntraday=6&amp;endMinuteIntraday=0" htmlTables="1" htmlFormat="all"/>
  </connection>
  <connection id="201" name="Connection367" type="4" refreshedVersion="6" background="1" saveData="1">
    <webPr xl2000="1" url="https://fclm-portal.amazon.com/ppa/inspect/node/csv?nodeType=DS&amp;warehouseId=DDC4&amp;maxIntradayDays=1&amp;spanType=Intraday&amp;startDateIntraday=2020%2F07%2F31&amp;startHourIntraday=6&amp;startMinuteIntraday=0&amp;endDateIntraday=2020%2F07%2F31&amp;endHourIntraday=7&amp;endMinuteIntraday=0" htmlTables="1" htmlFormat="all"/>
  </connection>
  <connection id="202" name="Connection368" type="4" refreshedVersion="6" background="1" saveData="1">
    <webPr xl2000="1" url="https://fclm-portal.amazon.com/ppa/inspect/node/csv?nodeType=DS&amp;warehouseId=DDC4&amp;maxIntradayDays=1&amp;spanType=Intraday&amp;startDateIntraday=2020%2F07%2F31&amp;startHourIntraday=5&amp;startMinuteIntraday=0&amp;endDateIntraday=2020%2F07%2F31&amp;endHourIntraday=6&amp;endMinuteIntraday=0" htmlTables="1" htmlFormat="all"/>
  </connection>
  <connection id="203" name="Connection369" type="4" refreshedVersion="6" background="1" saveData="1">
    <webPr xl2000="1" url="https://fclm-portal.amazon.com/ppa/inspect/node/csv?nodeType=DS&amp;warehouseId=DDC4&amp;maxIntradayDays=1&amp;spanType=Intraday&amp;startDateIntraday=2020%2F07%2F31&amp;startHourIntraday=2&amp;startMinuteIntraday=0&amp;endDateIntraday=2020%2F07%2F31&amp;endHourIntraday=3&amp;endMinuteIntraday=0" htmlTables="1" htmlFormat="all"/>
  </connection>
  <connection id="204" name="Connection37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205" name="Connection370" type="4" refreshedVersion="6" background="1" saveData="1">
    <webPr xl2000="1" url="https://fclm-portal.amazon.com/ppa/inspect/node/csv?nodeType=DS&amp;warehouseId=DDC4&amp;maxIntradayDays=1&amp;spanType=Intraday&amp;startDateIntraday=2020%2F07%2F31&amp;startHourIntraday=7&amp;startMinuteIntraday=0&amp;endDateIntraday=2020%2F07%2F31&amp;endHourIntraday=8&amp;endMinuteIntraday=0" htmlTables="1" htmlFormat="all"/>
  </connection>
  <connection id="206" name="Connection372" type="4" refreshedVersion="6" background="1" saveData="1">
    <webPr xl2000="1" url="https://fclm-portal.amazon.com/ppa/inspect/node/csv?nodeType=DS&amp;warehouseId=DDC4&amp;maxIntradayDays=1&amp;spanType=Intraday&amp;startDateIntraday=2020%2F07%2F31&amp;startHourIntraday=11&amp;startMinuteIntraday=0&amp;endDateIntraday=2020%2F07%2F31&amp;endHourIntraday=12&amp;endMinuteIntraday=0" htmlTables="1" htmlFormat="all"/>
  </connection>
  <connection id="207" name="Connection373" type="4" refreshedVersion="6" background="1" saveData="1">
    <webPr xl2000="1" url="https://fclm-portal.amazon.com/ppa/inspect/node/csv?nodeType=DS&amp;warehouseId=DDC4&amp;maxIntradayDays=1&amp;spanType=Intraday&amp;startDateIntraday=2020%2F08%2F01&amp;startHourIntraday=0&amp;startMinuteIntraday=0&amp;endDateIntraday=2020%2F08%2F01&amp;endHourIntraday=1&amp;endMinuteIntraday=0" htmlTables="1" htmlFormat="all"/>
  </connection>
  <connection id="208" name="Connection374" type="4" refreshedVersion="6" background="1" saveData="1">
    <webPr xl2000="1" url="https://fclm-portal.amazon.com/ppa/inspect/node/csv?nodeType=DS&amp;warehouseId=DDC4&amp;maxIntradayDays=1&amp;spanType=Intraday&amp;startDateIntraday=2020%2F08%2F01&amp;startHourIntraday=1&amp;startMinuteIntraday=0&amp;endDateIntraday=2020%2F08%2F01&amp;endHourIntraday=2&amp;endMinuteIntraday=0" htmlTables="1" htmlFormat="all"/>
  </connection>
  <connection id="209" name="Connection375" type="4" refreshedVersion="6" background="1" saveData="1">
    <webPr xl2000="1" url="https://fclm-portal.amazon.com/ppa/inspect/node/csv?nodeType=DS&amp;warehouseId=DDC4&amp;maxIntradayDays=1&amp;spanType=Intraday&amp;startDateIntraday=2020%2F08%2F01&amp;startHourIntraday=2&amp;startMinuteIntraday=0&amp;endDateIntraday=2020%2F08%2F01&amp;endHourIntraday=3&amp;endMinuteIntraday=0" htmlTables="1" htmlFormat="all"/>
  </connection>
  <connection id="210" name="Connection376" type="4" refreshedVersion="6" background="1" saveData="1">
    <webPr xl2000="1" url="https://fclm-portal.amazon.com/ppa/inspect/node/csv?nodeType=DS&amp;warehouseId=DDC4&amp;maxIntradayDays=1&amp;spanType=Intraday&amp;startDateIntraday=2020%2F08%2F01&amp;startHourIntraday=3&amp;startMinuteIntraday=0&amp;endDateIntraday=2020%2F08%2F01&amp;endHourIntraday=4&amp;endMinuteIntraday=0" htmlTables="1" htmlFormat="all"/>
  </connection>
  <connection id="211" name="Connection377" type="4" refreshedVersion="6" background="1" saveData="1">
    <webPr xl2000="1" url="https://fclm-portal.amazon.com/ppa/inspect/node/csv?nodeType=DS&amp;warehouseId=DDC4&amp;maxIntradayDays=1&amp;spanType=Intraday&amp;startDateIntraday=2020%2F08%2F01&amp;startHourIntraday=4&amp;startMinuteIntraday=0&amp;endDateIntraday=2020%2F08%2F01&amp;endHourIntraday=5&amp;endMinuteIntraday=0" htmlTables="1" htmlFormat="all"/>
  </connection>
  <connection id="212" name="Connection378" type="4" refreshedVersion="6" background="1" saveData="1">
    <webPr xl2000="1" url="https://fclm-portal.amazon.com/ppa/inspect/node/csv?nodeType=DS&amp;warehouseId=DDC4&amp;maxIntradayDays=1&amp;spanType=Intraday&amp;startDateIntraday=2020%2F08%2F01&amp;startHourIntraday=2&amp;startMinuteIntraday=0&amp;endDateIntraday=2020%2F08%2F01&amp;endHourIntraday=3&amp;endMinuteIntraday=0" htmlTables="1" htmlFormat="all"/>
  </connection>
  <connection id="213" name="Connection379" type="4" refreshedVersion="6" background="1" saveData="1">
    <webPr xl2000="1" url="https://fclm-portal.amazon.com/ppa/inspect/node/csv?nodeType=DS&amp;warehouseId=DDC4&amp;maxIntradayDays=1&amp;spanType=Intraday&amp;startDateIntraday=2020%2F08%2F01&amp;startHourIntraday=3&amp;startMinuteIntraday=0&amp;endDateIntraday=2020%2F08%2F01&amp;endHourIntraday=4&amp;endMinuteIntraday=0" htmlTables="1" htmlFormat="all"/>
  </connection>
  <connection id="214" name="Connection38" type="4" refreshedVersion="6" background="1" saveData="1">
    <webPr xl2000="1" url="https://fclm-portal.amazon.com/ppa/inspect/node/csv?nodeType=DS&amp;warehouseId=DPD1&amp;maxIntradayDays=1&amp;spanType=Intraday&amp;startDateIntraday=2020%2F04%2F15&amp;startHourIntraday=8&amp;startMinuteIntraday=0&amp;endDateIntraday=2020%2F04%2F15&amp;endHourIntraday=9&amp;endMinuteIntraday=0" htmlTables="1" htmlFormat="all"/>
  </connection>
  <connection id="215" name="Connection380" type="4" refreshedVersion="6" background="1" saveData="1">
    <webPr xl2000="1" url="https://fclm-portal.amazon.com/ppa/inspect/node/csv?nodeType=DS&amp;warehouseId=DDC4&amp;maxIntradayDays=1&amp;spanType=Intraday&amp;startDateIntraday=2020%2F08%2F01&amp;startHourIntraday=4&amp;startMinuteIntraday=0&amp;endDateIntraday=2020%2F08%2F01&amp;endHourIntraday=5&amp;endMinuteIntraday=0" htmlTables="1" htmlFormat="all"/>
  </connection>
  <connection id="216" name="Connection381" type="4" refreshedVersion="6" background="1" saveData="1">
    <webPr xl2000="1" url="https://fclm-portal.amazon.com/ppa/inspect/node/csv?nodeType=DS&amp;warehouseId=DDC4&amp;maxIntradayDays=1&amp;spanType=Intraday&amp;startDateIntraday=2020%2F08%2F01&amp;startHourIntraday=0&amp;startMinuteIntraday=0&amp;endDateIntraday=2020%2F08%2F01&amp;endHourIntraday=1&amp;endMinuteIntraday=0" htmlTables="1" htmlFormat="all"/>
  </connection>
  <connection id="217" name="Connection382" type="4" refreshedVersion="6" background="1" saveData="1">
    <webPr xl2000="1" url="https://fclm-portal.amazon.com/ppa/inspect/node/csv?nodeType=DS&amp;warehouseId=DDC4&amp;maxIntradayDays=1&amp;spanType=Intraday&amp;startDateIntraday=2020%2F08%2F01&amp;startHourIntraday=1&amp;startMinuteIntraday=0&amp;endDateIntraday=2020%2F08%2F01&amp;endHourIntraday=2&amp;endMinuteIntraday=0" htmlTables="1" htmlFormat="all"/>
  </connection>
  <connection id="218" name="Connection383" type="4" refreshedVersion="6" background="1" saveData="1">
    <webPr xl2000="1" url="https://fclm-portal.amazon.com/ppa/inspect/node/csv?nodeType=DS&amp;warehouseId=DDC4&amp;maxIntradayDays=1&amp;spanType=Intraday&amp;startDateIntraday=2020%2F08%2F01&amp;startHourIntraday=0&amp;startMinuteIntraday=0&amp;endDateIntraday=2020%2F08%2F01&amp;endHourIntraday=1&amp;endMinuteIntraday=0" htmlTables="1" htmlFormat="all"/>
  </connection>
  <connection id="219" name="Connection384" type="4" refreshedVersion="6" background="1" saveData="1">
    <webPr xl2000="1" url="https://fclm-portal.amazon.com/ppa/inspect/node/csv?nodeType=DS&amp;warehouseId=DDC4&amp;maxIntradayDays=1&amp;spanType=Intraday&amp;startDateIntraday=2020%2F08%2F01&amp;startHourIntraday=1&amp;startMinuteIntraday=0&amp;endDateIntraday=2020%2F08%2F01&amp;endHourIntraday=2&amp;endMinuteIntraday=0" htmlTables="1" htmlFormat="all"/>
  </connection>
  <connection id="220" name="Connection385" type="4" refreshedVersion="6" background="1" saveData="1">
    <webPr xl2000="1" url="https://fclm-portal.amazon.com/ppa/inspect/node/csv?nodeType=DS&amp;warehouseId=DDC4&amp;maxIntradayDays=1&amp;spanType=Intraday&amp;startDateIntraday=2020%2F08%2F01&amp;startHourIntraday=2&amp;startMinuteIntraday=0&amp;endDateIntraday=2020%2F08%2F01&amp;endHourIntraday=3&amp;endMinuteIntraday=0" htmlTables="1" htmlFormat="all"/>
  </connection>
  <connection id="221" name="Connection386" type="4" refreshedVersion="6" background="1" saveData="1">
    <webPr xl2000="1" url="https://fclm-portal.amazon.com/ppa/inspect/node/csv?nodeType=DS&amp;warehouseId=DDC4&amp;maxIntradayDays=1&amp;spanType=Intraday&amp;startDateIntraday=2020%2F08%2F01&amp;startHourIntraday=3&amp;startMinuteIntraday=0&amp;endDateIntraday=2020%2F08%2F01&amp;endHourIntraday=4&amp;endMinuteIntraday=0" htmlTables="1" htmlFormat="all"/>
  </connection>
  <connection id="222" name="Connection387" type="4" refreshedVersion="6" background="1" saveData="1">
    <webPr xl2000="1" url="https://fclm-portal.amazon.com/ppa/inspect/node/csv?nodeType=DS&amp;warehouseId=DDC4&amp;maxIntradayDays=1&amp;spanType=Intraday&amp;startDateIntraday=2020%2F08%2F01&amp;startHourIntraday=22&amp;startMinuteIntraday=0&amp;endDateIntraday=2020%2F08%2F01&amp;endHourIntraday=23&amp;endMinuteIntraday=0" htmlTables="1" htmlFormat="all"/>
  </connection>
  <connection id="223" name="Connection388" type="4" refreshedVersion="6" background="1" saveData="1">
    <webPr xl2000="1" url="https://fclm-portal.amazon.com/ppa/inspect/node/csv?nodeType=DS&amp;warehouseId=DDC4&amp;maxIntradayDays=1&amp;spanType=Intraday&amp;startDateIntraday=2020%2F08%2F02&amp;startHourIntraday=18&amp;startMinuteIntraday=0&amp;endDateIntraday=2020%2F08%2F02&amp;endHourIntraday=19&amp;endMinuteIntraday=0" htmlTables="1" htmlFormat="all"/>
  </connection>
  <connection id="224" name="Connection389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225" name="Connection39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226" name="Connection390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27" name="Connection391" type="4" refreshedVersion="6" background="1" saveData="1">
    <webPr xl2000="1" url="https://fclm-portal.amazon.com/ppa/inspect/node/csv?nodeType=DS&amp;warehouseId=DDC4&amp;maxIntradayDays=1&amp;spanType=Intraday&amp;startDateIntraday=2020%2F08%2F02&amp;startHourIntraday=4&amp;startMinuteIntraday=0&amp;endDateIntraday=2020%2F08%2F02&amp;endHourIntraday=5&amp;endMinuteIntraday=0" htmlTables="1" htmlFormat="all"/>
  </connection>
  <connection id="228" name="Connection392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229" name="Connection393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230" name="Connection394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231" name="Connection395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32" name="Connection396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33" name="Connection397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234" name="Connection398" type="4" refreshedVersion="6" background="1" saveData="1">
    <webPr xl2000="1" url="https://fclm-portal.amazon.com/ppa/inspect/node/csv?nodeType=DS&amp;warehouseId=DDC4&amp;maxIntradayDays=1&amp;spanType=Intraday&amp;startDateIntraday=2020%2F08%2F02&amp;startHourIntraday=1&amp;startMinuteIntraday=0&amp;endDateIntraday=2020%2F08%2F02&amp;endHourIntraday=2&amp;endMinuteIntraday=0" htmlTables="1" htmlFormat="all"/>
  </connection>
  <connection id="235" name="Connection399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236" name="Connection4" type="4" refreshedVersion="6" background="1" saveData="1">
    <webPr xl2000="1" url="https://fclm-portal.amazon.com/ppa/inspect/node/csv?nodeType=DS&amp;warehouseId=DPD1&amp;maxIntradayDays=1&amp;spanType=Intraday&amp;startDateIntraday=2020%2F03%2F29&amp;startHourIntraday=1&amp;startMinuteIntraday=0&amp;endDateIntraday=2020%2F03%2F29&amp;endHourIntraday=2&amp;endMinuteIntraday=0" htmlTables="1" htmlFormat="all"/>
  </connection>
  <connection id="237" name="Connection40" type="4" refreshedVersion="6" background="1" saveData="1">
    <webPr xl2000="1" url="https://fclm-portal.amazon.com/ppa/inspect/node/csv?nodeType=DS&amp;warehouseId=DPD1&amp;maxIntradayDays=1&amp;spanType=Intraday&amp;startDateIntraday=2020%2F04%2F15&amp;startHourIntraday=9&amp;startMinuteIntraday=0&amp;endDateIntraday=2020%2F04%2F15&amp;endHourIntraday=10&amp;endMinuteIntraday=0" htmlTables="1" htmlFormat="all"/>
  </connection>
  <connection id="238" name="Connection400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239" name="Connection401" type="4" refreshedVersion="6" background="1" saveData="1">
    <webPr xl2000="1" url="https://fclm-portal.amazon.com/ppa/inspect/node/csv?nodeType=DS&amp;warehouseId=DDC4&amp;maxIntradayDays=1&amp;spanType=Intraday&amp;startDateIntraday=2020%2F08%2F02&amp;startHourIntraday=7&amp;startMinuteIntraday=0&amp;endDateIntraday=2020%2F08%2F02&amp;endHourIntraday=8&amp;endMinuteIntraday=0" htmlTables="1" htmlFormat="all"/>
  </connection>
  <connection id="240" name="Connection402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41" name="Connection403" type="4" refreshedVersion="6" background="1" saveData="1">
    <webPr xl2000="1" url="https://fclm-portal.amazon.com/ppa/inspect/node/csv?nodeType=DS&amp;warehouseId=DDC4&amp;maxIntradayDays=1&amp;spanType=Intraday&amp;startDateIntraday=2020%2F08%2F02&amp;startHourIntraday=5&amp;startMinuteIntraday=0&amp;endDateIntraday=2020%2F08%2F02&amp;endHourIntraday=6&amp;endMinuteIntraday=0" htmlTables="1" htmlFormat="all"/>
  </connection>
  <connection id="242" name="Connection404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243" name="Connection405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44" name="Connection406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45" name="Connection407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46" name="Connection408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47" name="Connection409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48" name="Connection41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249" name="Connection410" type="4" refreshedVersion="6" background="1" saveData="1">
    <webPr xl2000="1" url="https://fclm-portal.amazon.com/ppa/inspect/node/csv?nodeType=DS&amp;warehouseId=DDC4&amp;maxIntradayDays=1&amp;spanType=Intraday&amp;startDateIntraday=2020%2F08%2F02&amp;startHourIntraday=9&amp;startMinuteIntraday=0&amp;endDateIntraday=2020%2F08%2F02&amp;endHourIntraday=10&amp;endMinuteIntraday=0" htmlTables="1" htmlFormat="all"/>
  </connection>
  <connection id="250" name="Connection411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51" name="Connection412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52" name="Connection413" type="4" refreshedVersion="6" background="1" saveData="1">
    <webPr xl2000="1" url="https://fclm-portal.amazon.com/ppa/inspect/node/csv?nodeType=DS&amp;warehouseId=DDC4&amp;maxIntradayDays=1&amp;spanType=Intraday&amp;startDateIntraday=2020%2F08%2F02&amp;startHourIntraday=6&amp;startMinuteIntraday=0&amp;endDateIntraday=2020%2F08%2F02&amp;endHourIntraday=7&amp;endMinuteIntraday=0" htmlTables="1" htmlFormat="all"/>
  </connection>
  <connection id="253" name="Connection414" type="4" refreshedVersion="6" background="1" saveData="1">
    <webPr xl2000="1" url="https://fclm-portal.amazon.com/ppa/inspect/node/csv?nodeType=DS&amp;warehouseId=DDC4&amp;maxIntradayDays=1&amp;spanType=Intraday&amp;startDateIntraday=2020%2F08%2F02&amp;startHourIntraday=7&amp;startMinuteIntraday=0&amp;endDateIntraday=2020%2F08%2F02&amp;endHourIntraday=8&amp;endMinuteIntraday=0" htmlTables="1" htmlFormat="all"/>
  </connection>
  <connection id="254" name="Connection415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55" name="Connection416" type="4" refreshedVersion="6" background="1" saveData="1">
    <webPr xl2000="1" url="https://fclm-portal.amazon.com/ppa/inspect/node/csv?nodeType=DS&amp;warehouseId=DDC4&amp;maxIntradayDays=1&amp;spanType=Intraday&amp;startDateIntraday=2020%2F08%2F02&amp;startHourIntraday=7&amp;startMinuteIntraday=0&amp;endDateIntraday=2020%2F08%2F02&amp;endHourIntraday=8&amp;endMinuteIntraday=0" htmlTables="1" htmlFormat="all"/>
  </connection>
  <connection id="256" name="Connection417" type="4" refreshedVersion="6" background="1" saveData="1">
    <webPr xl2000="1" url="https://fclm-portal.amazon.com/ppa/inspect/node/csv?nodeType=DS&amp;warehouseId=DDC4&amp;maxIntradayDays=1&amp;spanType=Intraday&amp;startDateIntraday=2020%2F08%2F02&amp;startHourIntraday=11&amp;startMinuteIntraday=0&amp;endDateIntraday=2020%2F08%2F02&amp;endHourIntraday=12&amp;endMinuteIntraday=0" htmlTables="1" htmlFormat="all"/>
  </connection>
  <connection id="257" name="Connection418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58" name="Connection419" type="4" refreshedVersion="6" background="1" saveData="1">
    <webPr xl2000="1" url="https://fclm-portal.amazon.com/ppa/inspect/node/csv?nodeType=DS&amp;warehouseId=DDC4&amp;maxIntradayDays=1&amp;spanType=Intraday&amp;startDateIntraday=2020%2F08%2F02&amp;startHourIntraday=11&amp;startMinuteIntraday=0&amp;endDateIntraday=2020%2F08%2F02&amp;endHourIntraday=12&amp;endMinuteIntraday=0" htmlTables="1" htmlFormat="all"/>
  </connection>
  <connection id="259" name="Connection42" type="4" refreshedVersion="6" background="1" saveData="1">
    <webPr xl2000="1" url="https://fclm-portal.amazon.com/ppa/inspect/node/csv?nodeType=DS&amp;warehouseId=DPD1&amp;maxIntradayDays=1&amp;spanType=Intraday&amp;startDateIntraday=2020%2F04%2F15&amp;startHourIntraday=8&amp;startMinuteIntraday=0&amp;endDateIntraday=2020%2F04%2F15&amp;endHourIntraday=9&amp;endMinuteIntraday=0" htmlTables="1" htmlFormat="all"/>
  </connection>
  <connection id="260" name="Connection420" type="4" refreshedVersion="6" background="1" saveData="1">
    <webPr xl2000="1" url="https://fclm-portal.amazon.com/ppa/inspect/node/csv?nodeType=DS&amp;warehouseId=DDC4&amp;maxIntradayDays=1&amp;spanType=Intraday&amp;startDateIntraday=2020%2F08%2F02&amp;startHourIntraday=11&amp;startMinuteIntraday=0&amp;endDateIntraday=2020%2F08%2F02&amp;endHourIntraday=12&amp;endMinuteIntraday=0" htmlTables="1" htmlFormat="all"/>
  </connection>
  <connection id="261" name="Connection421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262" name="Connection422" type="4" refreshedVersion="6" background="1" saveData="1">
    <webPr xl2000="1" url="https://fclm-portal.amazon.com/ppa/inspect/node/csv?nodeType=DS&amp;warehouseId=DDC4&amp;maxIntradayDays=1&amp;spanType=Intraday&amp;startDateIntraday=2020%2F08%2F02&amp;startHourIntraday=0&amp;startMinuteIntraday=0&amp;endDateIntraday=2020%2F08%2F02&amp;endHourIntraday=1&amp;endMinuteIntraday=0" htmlTables="1" htmlFormat="all"/>
  </connection>
  <connection id="263" name="Connection423" type="4" refreshedVersion="6" background="1" saveData="1">
    <webPr xl2000="1" url="https://fclm-portal.amazon.com/ppa/inspect/node/csv?nodeType=DS&amp;warehouseId=DDC4&amp;maxIntradayDays=1&amp;spanType=Intraday&amp;startDateIntraday=2020%2F08%2F02&amp;startHourIntraday=11&amp;startMinuteIntraday=0&amp;endDateIntraday=2020%2F08%2F02&amp;endHourIntraday=12&amp;endMinuteIntraday=0" htmlTables="1" htmlFormat="all"/>
  </connection>
  <connection id="264" name="Connection424" type="4" refreshedVersion="6" background="1" saveData="1">
    <webPr xl2000="1" url="https://fclm-portal.amazon.com/ppa/inspect/node/csv?nodeType=DS&amp;warehouseId=DDC4&amp;maxIntradayDays=1&amp;spanType=Intraday&amp;startDateIntraday=2020%2F08%2F02&amp;startHourIntraday=6&amp;startMinuteIntraday=0&amp;endDateIntraday=2020%2F08%2F02&amp;endHourIntraday=7&amp;endMinuteIntraday=0" htmlTables="1" htmlFormat="all"/>
  </connection>
  <connection id="265" name="Connection425" type="4" refreshedVersion="6" background="1" saveData="1">
    <webPr xl2000="1" url="https://fclm-portal.amazon.com/ppa/inspect/node/csv?nodeType=DS&amp;warehouseId=DDC4&amp;maxIntradayDays=1&amp;spanType=Intraday&amp;startDateIntraday=2020%2F08%2F02&amp;startHourIntraday=1&amp;startMinuteIntraday=0&amp;endDateIntraday=2020%2F08%2F02&amp;endHourIntraday=2&amp;endMinuteIntraday=0" htmlTables="1" htmlFormat="all"/>
  </connection>
  <connection id="266" name="Connection426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267" name="Connection427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268" name="Connection428" type="4" refreshedVersion="6" background="1" saveData="1">
    <webPr xl2000="1" url="https://fclm-portal.amazon.com/ppa/inspect/node/csv?nodeType=DS&amp;warehouseId=DDC4&amp;maxIntradayDays=1&amp;spanType=Intraday&amp;startDateIntraday=2020%2F08%2F02&amp;startHourIntraday=4&amp;startMinuteIntraday=0&amp;endDateIntraday=2020%2F08%2F02&amp;endHourIntraday=5&amp;endMinuteIntraday=0" htmlTables="1" htmlFormat="all"/>
  </connection>
  <connection id="269" name="Connection429" type="4" refreshedVersion="6" background="1" saveData="1">
    <webPr xl2000="1" url="https://fclm-portal.amazon.com/ppa/inspect/node/csv?nodeType=DS&amp;warehouseId=DDC4&amp;maxIntradayDays=1&amp;spanType=Intraday&amp;startDateIntraday=2020%2F08%2F02&amp;startHourIntraday=5&amp;startMinuteIntraday=0&amp;endDateIntraday=2020%2F08%2F02&amp;endHourIntraday=6&amp;endMinuteIntraday=0" htmlTables="1" htmlFormat="all"/>
  </connection>
  <connection id="270" name="Connection43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271" name="Connection430" type="4" refreshedVersion="6" background="1" saveData="1">
    <webPr xl2000="1" url="https://fclm-portal.amazon.com/ppa/inspect/node/csv?nodeType=DS&amp;warehouseId=DDC4&amp;maxIntradayDays=1&amp;spanType=Intraday&amp;startDateIntraday=2020%2F08%2F02&amp;startHourIntraday=8&amp;startMinuteIntraday=0&amp;endDateIntraday=2020%2F08%2F02&amp;endHourIntraday=9&amp;endMinuteIntraday=0" htmlTables="1" htmlFormat="all"/>
  </connection>
  <connection id="272" name="Connection431" type="4" refreshedVersion="6" background="1" saveData="1">
    <webPr xl2000="1" url="https://fclm-portal.amazon.com/ppa/inspect/node/csv?nodeType=DS&amp;warehouseId=DDC4&amp;maxIntradayDays=1&amp;spanType=Intraday&amp;startDateIntraday=2020%2F08%2F02&amp;startHourIntraday=9&amp;startMinuteIntraday=0&amp;endDateIntraday=2020%2F08%2F02&amp;endHourIntraday=10&amp;endMinuteIntraday=0" htmlTables="1" htmlFormat="all"/>
  </connection>
  <connection id="273" name="Connection432" type="4" refreshedVersion="6" background="1" saveData="1">
    <webPr xl2000="1" url="https://fclm-portal.amazon.com/ppa/inspect/node/csv?nodeType=DS&amp;warehouseId=DDC4&amp;maxIntradayDays=1&amp;spanType=Intraday&amp;startDateIntraday=2020%2F08%2F02&amp;startHourIntraday=6&amp;startMinuteIntraday=0&amp;endDateIntraday=2020%2F08%2F02&amp;endHourIntraday=7&amp;endMinuteIntraday=0" htmlTables="1" htmlFormat="all"/>
  </connection>
  <connection id="274" name="Connection433" type="4" refreshedVersion="6" background="1" saveData="1">
    <webPr xl2000="1" url="https://fclm-portal.amazon.com/ppa/inspect/node/csv?nodeType=DS&amp;warehouseId=DDC4&amp;maxIntradayDays=1&amp;spanType=Intraday&amp;startDateIntraday=2020%2F08%2F02&amp;startHourIntraday=11&amp;startMinuteIntraday=0&amp;endDateIntraday=2020%2F08%2F02&amp;endHourIntraday=12&amp;endMinuteIntraday=0" htmlTables="1" htmlFormat="all"/>
  </connection>
  <connection id="275" name="Connection434" type="4" refreshedVersion="6" background="1" saveData="1">
    <webPr xl2000="1" url="https://fclm-portal.amazon.com/ppa/inspect/node/csv?nodeType=DS&amp;warehouseId=DDC4&amp;maxIntradayDays=1&amp;spanType=Intraday&amp;startDateIntraday=2020%2F08%2F02&amp;startHourIntraday=12&amp;startMinuteIntraday=0&amp;endDateIntraday=2020%2F08%2F02&amp;endHourIntraday=13&amp;endMinuteIntraday=0" htmlTables="1" htmlFormat="all"/>
  </connection>
  <connection id="276" name="Connection435" type="4" refreshedVersion="6" background="1" saveData="1">
    <webPr xl2000="1" url="https://fclm-portal.amazon.com/ppa/inspect/node/csv?nodeType=DS&amp;warehouseId=DDC4&amp;maxIntradayDays=1&amp;spanType=Intraday&amp;startDateIntraday=2020%2F08%2F02&amp;startHourIntraday=11&amp;startMinuteIntraday=0&amp;endDateIntraday=2020%2F08%2F02&amp;endHourIntraday=12&amp;endMinuteIntraday=0" htmlTables="1" htmlFormat="all"/>
  </connection>
  <connection id="277" name="Connection436" type="4" refreshedVersion="6" background="1" saveData="1">
    <webPr xl2000="1" url="https://fclm-portal.amazon.com/ppa/inspect/node/csv?nodeType=DS&amp;warehouseId=DDC4&amp;maxIntradayDays=1&amp;spanType=Intraday&amp;startDateIntraday=2020%2F08%2F02&amp;startHourIntraday=9&amp;startMinuteIntraday=0&amp;endDateIntraday=2020%2F08%2F02&amp;endHourIntraday=10&amp;endMinuteIntraday=0" htmlTables="1" htmlFormat="all"/>
  </connection>
  <connection id="278" name="Connection437" type="4" refreshedVersion="6" background="1" saveData="1">
    <webPr xl2000="1" url="https://fclm-portal.amazon.com/ppa/inspect/node/csv?nodeType=DS&amp;warehouseId=DDC4&amp;maxIntradayDays=1&amp;spanType=Intraday&amp;startDateIntraday=2020%2F08%2F02&amp;startHourIntraday=8&amp;startMinuteIntraday=0&amp;endDateIntraday=2020%2F08%2F02&amp;endHourIntraday=9&amp;endMinuteIntraday=0" htmlTables="1" htmlFormat="all"/>
  </connection>
  <connection id="279" name="Connection438" type="4" refreshedVersion="6" background="1" saveData="1">
    <webPr xl2000="1" url="https://fclm-portal.amazon.com/ppa/inspect/node/csv?nodeType=DS&amp;warehouseId=DDC4&amp;maxIntradayDays=1&amp;spanType=Intraday&amp;startDateIntraday=2020%2F08%2F02&amp;startHourIntraday=9&amp;startMinuteIntraday=0&amp;endDateIntraday=2020%2F08%2F02&amp;endHourIntraday=10&amp;endMinuteIntraday=0" htmlTables="1" htmlFormat="all"/>
  </connection>
  <connection id="280" name="Connection439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281" name="Connection44" type="4" refreshedVersion="6" background="1" saveData="1">
    <webPr xl2000="1" url="https://fclm-portal.amazon.com/ppa/inspect/node/csv?nodeType=DS&amp;warehouseId=DPD1&amp;maxIntradayDays=1&amp;spanType=Intraday&amp;startDateIntraday=2020%2F04%2F16&amp;startHourIntraday=8&amp;startMinuteIntraday=0&amp;endDateIntraday=2020%2F04%2F16&amp;endHourIntraday=9&amp;endMinuteIntraday=0" htmlTables="1" htmlFormat="all"/>
  </connection>
  <connection id="282" name="Connection440" type="4" refreshedVersion="6" background="1" saveData="1">
    <webPr xl2000="1" url="https://fclm-portal.amazon.com/ppa/inspect/node/csv?nodeType=DS&amp;warehouseId=DDC4&amp;maxIntradayDays=1&amp;spanType=Intraday&amp;startDateIntraday=2020%2F08%2F02&amp;startHourIntraday=11&amp;startMinuteIntraday=0&amp;endDateIntraday=2020%2F08%2F02&amp;endHourIntraday=12&amp;endMinuteIntraday=0" htmlTables="1" htmlFormat="all"/>
  </connection>
  <connection id="283" name="Connection441" type="4" refreshedVersion="6" background="1" saveData="1">
    <webPr xl2000="1" url="https://fclm-portal.amazon.com/ppa/inspect/node/csv?nodeType=DS&amp;warehouseId=DDC4&amp;maxIntradayDays=1&amp;spanType=Intraday&amp;startDateIntraday=2020%2F08%2F02&amp;startHourIntraday=12&amp;startMinuteIntraday=0&amp;endDateIntraday=2020%2F08%2F02&amp;endHourIntraday=13&amp;endMinuteIntraday=0" htmlTables="1" htmlFormat="all"/>
  </connection>
  <connection id="284" name="Connection442" type="4" refreshedVersion="6" background="1" saveData="1">
    <webPr xl2000="1" url="https://fclm-portal.amazon.com/ppa/inspect/node/csv?nodeType=DS&amp;warehouseId=DDC4&amp;maxIntradayDays=1&amp;spanType=Intraday&amp;startDateIntraday=2020%2F08%2F02&amp;startHourIntraday=0&amp;startMinuteIntraday=0&amp;endDateIntraday=2020%2F08%2F02&amp;endHourIntraday=1&amp;endMinuteIntraday=0" htmlTables="1" htmlFormat="all"/>
  </connection>
  <connection id="285" name="Connection443" type="4" refreshedVersion="6" background="1" saveData="1">
    <webPr xl2000="1" url="https://fclm-portal.amazon.com/ppa/inspect/node/csv?nodeType=DS&amp;warehouseId=DDC4&amp;maxIntradayDays=1&amp;spanType=Intraday&amp;startDateIntraday=2020%2F08%2F02&amp;startHourIntraday=1&amp;startMinuteIntraday=0&amp;endDateIntraday=2020%2F08%2F02&amp;endHourIntraday=2&amp;endMinuteIntraday=0" htmlTables="1" htmlFormat="all"/>
  </connection>
  <connection id="286" name="Connection444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287" name="Connection445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288" name="Connection446" type="4" refreshedVersion="6" background="1" saveData="1">
    <webPr xl2000="1" url="https://fclm-portal.amazon.com/ppa/inspect/node/csv?nodeType=DS&amp;warehouseId=DDC4&amp;maxIntradayDays=1&amp;spanType=Intraday&amp;startDateIntraday=2020%2F08%2F02&amp;startHourIntraday=4&amp;startMinuteIntraday=0&amp;endDateIntraday=2020%2F08%2F02&amp;endHourIntraday=5&amp;endMinuteIntraday=0" htmlTables="1" htmlFormat="all"/>
  </connection>
  <connection id="289" name="Connection447" type="4" refreshedVersion="6" background="1" saveData="1">
    <webPr xl2000="1" url="https://fclm-portal.amazon.com/ppa/inspect/node/csv?nodeType=DS&amp;warehouseId=DDC4&amp;maxIntradayDays=1&amp;spanType=Intraday&amp;startDateIntraday=2020%2F08%2F02&amp;startHourIntraday=5&amp;startMinuteIntraday=0&amp;endDateIntraday=2020%2F08%2F02&amp;endHourIntraday=6&amp;endMinuteIntraday=0" htmlTables="1" htmlFormat="all"/>
  </connection>
  <connection id="290" name="Connection448" type="4" refreshedVersion="6" background="1" saveData="1">
    <webPr xl2000="1" url="https://fclm-portal.amazon.com/ppa/inspect/node/csv?nodeType=DS&amp;warehouseId=DDC4&amp;maxIntradayDays=1&amp;spanType=Intraday&amp;startDateIntraday=2020%2F08%2F02&amp;startHourIntraday=6&amp;startMinuteIntraday=0&amp;endDateIntraday=2020%2F08%2F02&amp;endHourIntraday=7&amp;endMinuteIntraday=0" htmlTables="1" htmlFormat="all"/>
  </connection>
  <connection id="291" name="Connection449" type="4" refreshedVersion="6" background="1" saveData="1">
    <webPr xl2000="1" url="https://fclm-portal.amazon.com/ppa/inspect/node/csv?nodeType=DS&amp;warehouseId=DDC4&amp;maxIntradayDays=1&amp;spanType=Intraday&amp;startDateIntraday=2020%2F08%2F02&amp;startHourIntraday=7&amp;startMinuteIntraday=0&amp;endDateIntraday=2020%2F08%2F02&amp;endHourIntraday=8&amp;endMinuteIntraday=0" htmlTables="1" htmlFormat="all"/>
  </connection>
  <connection id="292" name="Connection45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293" name="Connection450" type="4" refreshedVersion="6" background="1" saveData="1">
    <webPr xl2000="1" url="https://fclm-portal.amazon.com/ppa/inspect/node/csv?nodeType=DS&amp;warehouseId=DDC4&amp;maxIntradayDays=1&amp;spanType=Intraday&amp;startDateIntraday=2020%2F08%2F02&amp;startHourIntraday=0&amp;startMinuteIntraday=0&amp;endDateIntraday=2020%2F08%2F02&amp;endHourIntraday=1&amp;endMinuteIntraday=0" htmlTables="1" htmlFormat="all"/>
  </connection>
  <connection id="294" name="Connection451" type="4" refreshedVersion="6" background="1" saveData="1">
    <webPr xl2000="1" url="https://fclm-portal.amazon.com/ppa/inspect/node/csv?nodeType=DS&amp;warehouseId=DDC4&amp;maxIntradayDays=1&amp;spanType=Intraday&amp;startDateIntraday=2020%2F08%2F02&amp;startHourIntraday=1&amp;startMinuteIntraday=0&amp;endDateIntraday=2020%2F08%2F02&amp;endHourIntraday=2&amp;endMinuteIntraday=0" htmlTables="1" htmlFormat="all"/>
  </connection>
  <connection id="295" name="Connection452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296" name="Connection453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297" name="Connection454" type="4" refreshedVersion="6" background="1" saveData="1">
    <webPr xl2000="1" url="https://fclm-portal.amazon.com/ppa/inspect/node/csv?nodeType=DS&amp;warehouseId=DDC4&amp;maxIntradayDays=1&amp;spanType=Intraday&amp;startDateIntraday=2020%2F08%2F02&amp;startHourIntraday=4&amp;startMinuteIntraday=0&amp;endDateIntraday=2020%2F08%2F02&amp;endHourIntraday=5&amp;endMinuteIntraday=0" htmlTables="1" htmlFormat="all"/>
  </connection>
  <connection id="298" name="Connection455" type="4" refreshedVersion="6" background="1" saveData="1">
    <webPr xl2000="1" url="https://fclm-portal.amazon.com/ppa/inspect/node/csv?nodeType=DS&amp;warehouseId=DDC4&amp;maxIntradayDays=1&amp;spanType=Intraday&amp;startDateIntraday=2020%2F08%2F02&amp;startHourIntraday=5&amp;startMinuteIntraday=0&amp;endDateIntraday=2020%2F08%2F02&amp;endHourIntraday=6&amp;endMinuteIntraday=0" htmlTables="1" htmlFormat="all"/>
  </connection>
  <connection id="299" name="Connection456" type="4" refreshedVersion="6" background="1" saveData="1">
    <webPr xl2000="1" url="https://fclm-portal.amazon.com/ppa/inspect/node/csv?nodeType=DS&amp;warehouseId=DDC4&amp;maxIntradayDays=1&amp;spanType=Intraday&amp;startDateIntraday=2020%2F08%2F02&amp;startHourIntraday=6&amp;startMinuteIntraday=0&amp;endDateIntraday=2020%2F08%2F02&amp;endHourIntraday=7&amp;endMinuteIntraday=0" htmlTables="1" htmlFormat="all"/>
  </connection>
  <connection id="300" name="Connection457" type="4" refreshedVersion="6" background="1" saveData="1">
    <webPr xl2000="1" url="https://fclm-portal.amazon.com/ppa/inspect/node/csv?nodeType=DS&amp;warehouseId=DDC4&amp;maxIntradayDays=1&amp;spanType=Intraday&amp;startDateIntraday=2020%2F08%2F02&amp;startHourIntraday=7&amp;startMinuteIntraday=0&amp;endDateIntraday=2020%2F08%2F02&amp;endHourIntraday=8&amp;endMinuteIntraday=0" htmlTables="1" htmlFormat="all"/>
  </connection>
  <connection id="301" name="Connection458" type="4" refreshedVersion="6" background="1" saveData="1">
    <webPr xl2000="1" url="https://fclm-portal.amazon.com/ppa/inspect/node/csv?nodeType=DS&amp;warehouseId=DDC4&amp;maxIntradayDays=1&amp;spanType=Intraday&amp;startDateIntraday=2020%2F08%2F02&amp;startHourIntraday=8&amp;startMinuteIntraday=0&amp;endDateIntraday=2020%2F08%2F02&amp;endHourIntraday=9&amp;endMinuteIntraday=0" htmlTables="1" htmlFormat="all"/>
  </connection>
  <connection id="302" name="Connection459" type="4" refreshedVersion="6" background="1" saveData="1">
    <webPr xl2000="1" url="https://fclm-portal.amazon.com/ppa/inspect/node/csv?nodeType=DS&amp;warehouseId=DDC4&amp;maxIntradayDays=1&amp;spanType=Intraday&amp;startDateIntraday=2020%2F08%2F02&amp;startHourIntraday=9&amp;startMinuteIntraday=0&amp;endDateIntraday=2020%2F08%2F02&amp;endHourIntraday=10&amp;endMinuteIntraday=0" htmlTables="1" htmlFormat="all"/>
  </connection>
  <connection id="303" name="Connection46" type="4" refreshedVersion="6" background="1" saveData="1">
    <webPr xl2000="1" url="https://fclm-portal.amazon.com/ppa/inspect/node/csv?nodeType=DS&amp;warehouseId=DPD1&amp;maxIntradayDays=1&amp;spanType=Intraday&amp;startDateIntraday=2020%2F04%2F16&amp;startHourIntraday=9&amp;startMinuteIntraday=0&amp;endDateIntraday=2020%2F04%2F16&amp;endHourIntraday=10&amp;endMinuteIntraday=0" htmlTables="1" htmlFormat="all"/>
  </connection>
  <connection id="304" name="Connection460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305" name="Connection461" type="4" refreshedVersion="6" background="1" saveData="1">
    <webPr xl2000="1" url="https://fclm-portal.amazon.com/ppa/inspect/node/csv?nodeType=DS&amp;warehouseId=DDC4&amp;maxIntradayDays=1&amp;spanType=Intraday&amp;startDateIntraday=2020%2F08%2F02&amp;startHourIntraday=11&amp;startMinuteIntraday=0&amp;endDateIntraday=2020%2F08%2F02&amp;endHourIntraday=12&amp;endMinuteIntraday=0" htmlTables="1" htmlFormat="all"/>
  </connection>
  <connection id="306" name="Connection462" type="4" refreshedVersion="6" background="1" saveData="1">
    <webPr xl2000="1" url="https://fclm-portal.amazon.com/ppa/inspect/node/csv?nodeType=DS&amp;warehouseId=DDC4&amp;maxIntradayDays=1&amp;spanType=Intraday&amp;startDateIntraday=2020%2F08%2F02&amp;startHourIntraday=12&amp;startMinuteIntraday=0&amp;endDateIntraday=2020%2F08%2F02&amp;endHourIntraday=13&amp;endMinuteIntraday=0" htmlTables="1" htmlFormat="all"/>
  </connection>
  <connection id="307" name="Connection463" type="4" refreshedVersion="6" background="1" saveData="1">
    <webPr xl2000="1" url="https://fclm-portal.amazon.com/ppa/inspect/node/csv?nodeType=DS&amp;warehouseId=DDC4&amp;maxIntradayDays=1&amp;spanType=Intraday&amp;startDateIntraday=2020%2F08%2F01&amp;startHourIntraday=17&amp;startMinuteIntraday=0&amp;endDateIntraday=2020%2F08%2F01&amp;endHourIntraday=18&amp;endMinuteIntraday=0" htmlTables="1" htmlFormat="all"/>
  </connection>
  <connection id="308" name="Connection464" type="4" refreshedVersion="6" background="1" saveData="1">
    <webPr xl2000="1" url="https://fclm-portal.amazon.com/ppa/inspect/node/csv?nodeType=DS&amp;warehouseId=DDC4&amp;maxIntradayDays=1&amp;spanType=Intraday&amp;startDateIntraday=2020%2F08%2F01&amp;startHourIntraday=18&amp;startMinuteIntraday=0&amp;endDateIntraday=2020%2F08%2F01&amp;endHourIntraday=19&amp;endMinuteIntraday=0" htmlTables="1" htmlFormat="all"/>
  </connection>
  <connection id="309" name="Connection465" type="4" refreshedVersion="6" background="1" saveData="1">
    <webPr xl2000="1" url="https://fclm-portal.amazon.com/ppa/inspect/node/csv?nodeType=DS&amp;warehouseId=DDC4&amp;maxIntradayDays=1&amp;spanType=Intraday&amp;startDateIntraday=2020%2F08%2F01&amp;startHourIntraday=19&amp;startMinuteIntraday=0&amp;endDateIntraday=2020%2F08%2F01&amp;endHourIntraday=20&amp;endMinuteIntraday=0" htmlTables="1" htmlFormat="all"/>
  </connection>
  <connection id="310" name="Connection466" type="4" refreshedVersion="6" background="1" saveData="1">
    <webPr xl2000="1" url="https://fclm-portal.amazon.com/ppa/inspect/node/csv?nodeType=DS&amp;warehouseId=DDC4&amp;maxIntradayDays=1&amp;spanType=Intraday&amp;startDateIntraday=2020%2F08%2F01&amp;startHourIntraday=20&amp;startMinuteIntraday=0&amp;endDateIntraday=2020%2F08%2F01&amp;endHourIntraday=21&amp;endMinuteIntraday=0" htmlTables="1" htmlFormat="all"/>
  </connection>
  <connection id="311" name="Connection467" type="4" refreshedVersion="6" background="1" saveData="1">
    <webPr xl2000="1" url="https://fclm-portal.amazon.com/ppa/inspect/node/csv?nodeType=DS&amp;warehouseId=DDC4&amp;maxIntradayDays=1&amp;spanType=Intraday&amp;startDateIntraday=2020%2F08%2F01&amp;startHourIntraday=21&amp;startMinuteIntraday=0&amp;endDateIntraday=2020%2F08%2F01&amp;endHourIntraday=22&amp;endMinuteIntraday=0" htmlTables="1" htmlFormat="all"/>
  </connection>
  <connection id="312" name="Connection468" type="4" refreshedVersion="6" background="1" saveData="1">
    <webPr xl2000="1" url="https://fclm-portal.amazon.com/ppa/inspect/node/csv?nodeType=DS&amp;warehouseId=DDC4&amp;maxIntradayDays=1&amp;spanType=Intraday&amp;startDateIntraday=2020%2F08%2F01&amp;startHourIntraday=22&amp;startMinuteIntraday=0&amp;endDateIntraday=2020%2F08%2F01&amp;endHourIntraday=23&amp;endMinuteIntraday=0" htmlTables="1" htmlFormat="all"/>
  </connection>
  <connection id="313" name="Connection469" type="4" refreshedVersion="6" background="1" saveData="1">
    <webPr xl2000="1" url="https://fclm-portal.amazon.com/ppa/inspect/node/csv?nodeType=DS&amp;warehouseId=DDC4&amp;maxIntradayDays=1&amp;spanType=Intraday&amp;startDateIntraday=2020%2F08%2F01&amp;startHourIntraday=23&amp;startMinuteIntraday=0&amp;endDateIntraday=2020%2F08%2F02&amp;endHourIntraday=0&amp;endMinuteIntraday=0" htmlTables="1" htmlFormat="all"/>
  </connection>
  <connection id="314" name="Connection47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315" name="Connection470" type="4" refreshedVersion="6" background="1" saveData="1">
    <webPr xl2000="1" url="https://fclm-portal.amazon.com/ppa/inspect/node/csv?nodeType=DS&amp;warehouseId=DDC4&amp;maxIntradayDays=1&amp;spanType=Intraday&amp;startDateIntraday=2020%2F08%2F01&amp;startHourIntraday=17&amp;startMinuteIntraday=0&amp;endDateIntraday=2020%2F08%2F01&amp;endHourIntraday=18&amp;endMinuteIntraday=0" htmlTables="1" htmlFormat="all"/>
  </connection>
  <connection id="316" name="Connection471" type="4" refreshedVersion="6" background="1" saveData="1">
    <webPr xl2000="1" url="https://fclm-portal.amazon.com/ppa/inspect/node/csv?nodeType=DS&amp;warehouseId=DDC4&amp;maxIntradayDays=1&amp;spanType=Intraday&amp;startDateIntraday=2020%2F08%2F01&amp;startHourIntraday=18&amp;startMinuteIntraday=0&amp;endDateIntraday=2020%2F08%2F01&amp;endHourIntraday=19&amp;endMinuteIntraday=0" htmlTables="1" htmlFormat="all"/>
  </connection>
  <connection id="317" name="Connection472" type="4" refreshedVersion="6" background="1" saveData="1">
    <webPr xl2000="1" url="https://fclm-portal.amazon.com/ppa/inspect/node/csv?nodeType=DS&amp;warehouseId=DDC4&amp;maxIntradayDays=1&amp;spanType=Intraday&amp;startDateIntraday=2020%2F08%2F01&amp;startHourIntraday=19&amp;startMinuteIntraday=0&amp;endDateIntraday=2020%2F08%2F01&amp;endHourIntraday=20&amp;endMinuteIntraday=0" htmlTables="1" htmlFormat="all"/>
  </connection>
  <connection id="318" name="Connection473" type="4" refreshedVersion="6" background="1" saveData="1">
    <webPr xl2000="1" url="https://fclm-portal.amazon.com/ppa/inspect/node/csv?nodeType=DS&amp;warehouseId=DDC4&amp;maxIntradayDays=1&amp;spanType=Intraday&amp;startDateIntraday=2020%2F08%2F01&amp;startHourIntraday=20&amp;startMinuteIntraday=0&amp;endDateIntraday=2020%2F08%2F01&amp;endHourIntraday=21&amp;endMinuteIntraday=0" htmlTables="1" htmlFormat="all"/>
  </connection>
  <connection id="319" name="Connection474" type="4" refreshedVersion="6" background="1" saveData="1">
    <webPr xl2000="1" url="https://fclm-portal.amazon.com/ppa/inspect/node/csv?nodeType=DS&amp;warehouseId=DDC4&amp;maxIntradayDays=1&amp;spanType=Intraday&amp;startDateIntraday=2020%2F08%2F01&amp;startHourIntraday=21&amp;startMinuteIntraday=0&amp;endDateIntraday=2020%2F08%2F01&amp;endHourIntraday=22&amp;endMinuteIntraday=0" htmlTables="1" htmlFormat="all"/>
  </connection>
  <connection id="320" name="Connection475" type="4" refreshedVersion="6" background="1" saveData="1">
    <webPr xl2000="1" url="https://fclm-portal.amazon.com/ppa/inspect/node/csv?nodeType=DS&amp;warehouseId=DDC4&amp;maxIntradayDays=1&amp;spanType=Intraday&amp;startDateIntraday=2020%2F08%2F01&amp;startHourIntraday=22&amp;startMinuteIntraday=0&amp;endDateIntraday=2020%2F08%2F01&amp;endHourIntraday=23&amp;endMinuteIntraday=0" htmlTables="1" htmlFormat="all"/>
  </connection>
  <connection id="321" name="Connection476" type="4" refreshedVersion="6" background="1" saveData="1">
    <webPr xl2000="1" url="https://fclm-portal.amazon.com/ppa/inspect/node/csv?nodeType=DS&amp;warehouseId=DDC4&amp;maxIntradayDays=1&amp;spanType=Intraday&amp;startDateIntraday=2020%2F08%2F01&amp;startHourIntraday=23&amp;startMinuteIntraday=0&amp;endDateIntraday=2020%2F08%2F02&amp;endHourIntraday=0&amp;endMinuteIntraday=0" htmlTables="1" htmlFormat="all"/>
  </connection>
  <connection id="322" name="Connection477" type="4" refreshedVersion="6" background="1" saveData="1">
    <webPr xl2000="1" url="https://fclm-portal.amazon.com/ppa/inspect/node/csv?nodeType=DS&amp;warehouseId=DDC4&amp;maxIntradayDays=1&amp;spanType=Intraday&amp;startDateIntraday=2020%2F08%2F02&amp;startHourIntraday=0&amp;startMinuteIntraday=0&amp;endDateIntraday=2020%2F08%2F02&amp;endHourIntraday=1&amp;endMinuteIntraday=0" htmlTables="1" htmlFormat="all"/>
  </connection>
  <connection id="323" name="Connection478" type="4" refreshedVersion="6" background="1" saveData="1">
    <webPr xl2000="1" url="https://fclm-portal.amazon.com/ppa/inspect/node/csv?nodeType=DS&amp;warehouseId=DDC4&amp;maxIntradayDays=1&amp;spanType=Intraday&amp;startDateIntraday=2020%2F08%2F02&amp;startHourIntraday=1&amp;startMinuteIntraday=0&amp;endDateIntraday=2020%2F08%2F02&amp;endHourIntraday=2&amp;endMinuteIntraday=0" htmlTables="1" htmlFormat="all"/>
  </connection>
  <connection id="324" name="Connection479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325" name="Connection48" type="4" refreshedVersion="6" background="1" saveData="1">
    <webPr xl2000="1" url="https://fclm-portal.amazon.com/ppa/inspect/node/csv?nodeType=DS&amp;warehouseId=DPD1&amp;maxIntradayDays=1&amp;spanType=Intraday&amp;startDateIntraday=2020%2F04%2F16&amp;startHourIntraday=11&amp;startMinuteIntraday=0&amp;endDateIntraday=2020%2F04%2F16&amp;endHourIntraday=12&amp;endMinuteIntraday=0" htmlTables="1" htmlFormat="all"/>
  </connection>
  <connection id="326" name="Connection480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327" name="Connection481" type="4" refreshedVersion="6" background="1" saveData="1">
    <webPr xl2000="1" url="https://fclm-portal.amazon.com/ppa/inspect/node/csv?nodeType=DS&amp;warehouseId=DDC4&amp;maxIntradayDays=1&amp;spanType=Intraday&amp;startDateIntraday=2020%2F08%2F02&amp;startHourIntraday=4&amp;startMinuteIntraday=0&amp;endDateIntraday=2020%2F08%2F02&amp;endHourIntraday=5&amp;endMinuteIntraday=0" htmlTables="1" htmlFormat="all"/>
  </connection>
  <connection id="328" name="Connection482" type="4" refreshedVersion="6" background="1" saveData="1">
    <webPr xl2000="1" url="https://fclm-portal.amazon.com/ppa/inspect/node/csv?nodeType=DS&amp;warehouseId=DDC4&amp;maxIntradayDays=1&amp;spanType=Intraday&amp;startDateIntraday=2020%2F08%2F02&amp;startHourIntraday=5&amp;startMinuteIntraday=0&amp;endDateIntraday=2020%2F08%2F02&amp;endHourIntraday=6&amp;endMinuteIntraday=0" htmlTables="1" htmlFormat="all"/>
  </connection>
  <connection id="329" name="Connection483" type="4" refreshedVersion="6" background="1" saveData="1">
    <webPr xl2000="1" url="https://fclm-portal.amazon.com/ppa/inspect/node/csv?nodeType=DS&amp;warehouseId=DDC4&amp;maxIntradayDays=1&amp;spanType=Intraday&amp;startDateIntraday=2020%2F08%2F02&amp;startHourIntraday=6&amp;startMinuteIntraday=0&amp;endDateIntraday=2020%2F08%2F02&amp;endHourIntraday=7&amp;endMinuteIntraday=0" htmlTables="1" htmlFormat="all"/>
  </connection>
  <connection id="330" name="Connection484" type="4" refreshedVersion="6" background="1" saveData="1">
    <webPr xl2000="1" url="https://fclm-portal.amazon.com/ppa/inspect/node/csv?nodeType=DS&amp;warehouseId=DDC4&amp;maxIntradayDays=1&amp;spanType=Intraday&amp;startDateIntraday=2020%2F08%2F02&amp;startHourIntraday=7&amp;startMinuteIntraday=0&amp;endDateIntraday=2020%2F08%2F02&amp;endHourIntraday=8&amp;endMinuteIntraday=0" htmlTables="1" htmlFormat="all"/>
  </connection>
  <connection id="331" name="Connection485" type="4" refreshedVersion="6" background="1" saveData="1">
    <webPr xl2000="1" url="https://fclm-portal.amazon.com/ppa/inspect/node/csv?nodeType=DS&amp;warehouseId=DDC4&amp;maxIntradayDays=1&amp;spanType=Intraday&amp;startDateIntraday=2020%2F08%2F02&amp;startHourIntraday=8&amp;startMinuteIntraday=0&amp;endDateIntraday=2020%2F08%2F02&amp;endHourIntraday=9&amp;endMinuteIntraday=0" htmlTables="1" htmlFormat="all"/>
  </connection>
  <connection id="332" name="Connection486" type="4" refreshedVersion="6" background="1" saveData="1">
    <webPr xl2000="1" url="https://fclm-portal.amazon.com/ppa/inspect/node/csv?nodeType=DS&amp;warehouseId=DDC4&amp;maxIntradayDays=1&amp;spanType=Intraday&amp;startDateIntraday=2020%2F08%2F02&amp;startHourIntraday=9&amp;startMinuteIntraday=0&amp;endDateIntraday=2020%2F08%2F02&amp;endHourIntraday=10&amp;endMinuteIntraday=0" htmlTables="1" htmlFormat="all"/>
  </connection>
  <connection id="333" name="Connection487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334" name="Connection488" type="4" refreshedVersion="6" background="1" saveData="1">
    <webPr xl2000="1" url="https://fclm-portal.amazon.com/ppa/inspect/node/csv?nodeType=DS&amp;warehouseId=DDC4&amp;maxIntradayDays=1&amp;spanType=Intraday&amp;startDateIntraday=2020%2F08%2F02&amp;startHourIntraday=11&amp;startMinuteIntraday=0&amp;endDateIntraday=2020%2F08%2F02&amp;endHourIntraday=12&amp;endMinuteIntraday=0" htmlTables="1" htmlFormat="all"/>
  </connection>
  <connection id="335" name="Connection489" type="4" refreshedVersion="6" background="1" saveData="1">
    <webPr xl2000="1" url="https://fclm-portal.amazon.com/ppa/inspect/node/csv?nodeType=DS&amp;warehouseId=DDC4&amp;maxIntradayDays=1&amp;spanType=Intraday&amp;startDateIntraday=2020%2F08%2F02&amp;startHourIntraday=12&amp;startMinuteIntraday=0&amp;endDateIntraday=2020%2F08%2F02&amp;endHourIntraday=13&amp;endMinuteIntraday=0" htmlTables="1" htmlFormat="all"/>
  </connection>
  <connection id="336" name="Connection49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337" name="Connection490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338" name="Connection491" type="4" refreshedVersion="6" background="1" saveData="1">
    <webPr xl2000="1" url="https://fclm-portal.amazon.com/ppa/inspect/node/csv?nodeType=DS&amp;warehouseId=DDC4&amp;maxIntradayDays=1&amp;spanType=Intraday&amp;startDateIntraday=2020%2F08%2F02&amp;startHourIntraday=18&amp;startMinuteIntraday=0&amp;endDateIntraday=2020%2F08%2F02&amp;endHourIntraday=19&amp;endMinuteIntraday=0" htmlTables="1" htmlFormat="all"/>
  </connection>
  <connection id="339" name="Connection492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340" name="Connection493" type="4" refreshedVersion="6" background="1" saveData="1">
    <webPr xl2000="1" url="https://fclm-portal.amazon.com/ppa/inspect/node/csv?nodeType=DS&amp;warehouseId=DDC4&amp;maxIntradayDays=1&amp;spanType=Intraday&amp;startDateIntraday=2020%2F08%2F02&amp;startHourIntraday=20&amp;startMinuteIntraday=0&amp;endDateIntraday=2020%2F08%2F02&amp;endHourIntraday=21&amp;endMinuteIntraday=0" htmlTables="1" htmlFormat="all"/>
  </connection>
  <connection id="341" name="Connection494" type="4" refreshedVersion="6" background="1" saveData="1">
    <webPr xl2000="1" url="https://fclm-portal.amazon.com/ppa/inspect/node/csv?nodeType=DS&amp;warehouseId=DDC4&amp;maxIntradayDays=1&amp;spanType=Intraday&amp;startDateIntraday=2020%2F08%2F02&amp;startHourIntraday=21&amp;startMinuteIntraday=0&amp;endDateIntraday=2020%2F08%2F02&amp;endHourIntraday=22&amp;endMinuteIntraday=0" htmlTables="1" htmlFormat="all"/>
  </connection>
  <connection id="342" name="Connection495" type="4" refreshedVersion="6" background="1" saveData="1">
    <webPr xl2000="1" url="https://fclm-portal.amazon.com/ppa/inspect/node/csv?nodeType=DS&amp;warehouseId=DDC4&amp;maxIntradayDays=1&amp;spanType=Intraday&amp;startDateIntraday=2020%2F08%2F02&amp;startHourIntraday=22&amp;startMinuteIntraday=0&amp;endDateIntraday=2020%2F08%2F02&amp;endHourIntraday=23&amp;endMinuteIntraday=0" htmlTables="1" htmlFormat="all"/>
  </connection>
  <connection id="343" name="Connection496" type="4" refreshedVersion="6" background="1" saveData="1">
    <webPr xl2000="1" url="https://fclm-portal.amazon.com/ppa/inspect/node/csv?nodeType=DS&amp;warehouseId=DDC4&amp;maxIntradayDays=1&amp;spanType=Intraday&amp;startDateIntraday=2020%2F08%2F02&amp;startHourIntraday=23&amp;startMinuteIntraday=0&amp;endDateIntraday=2020%2F08%2F02&amp;endHourIntraday=0&amp;endMinuteIntraday=0" htmlTables="1" htmlFormat="all"/>
  </connection>
  <connection id="344" name="Connection497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345" name="Connection498" type="4" refreshedVersion="6" background="1" saveData="1">
    <webPr xl2000="1" url="https://fclm-portal.amazon.com/ppa/inspect/node/csv?nodeType=DS&amp;warehouseId=DDC4&amp;maxIntradayDays=1&amp;spanType=Intraday&amp;startDateIntraday=2020%2F08%2F02&amp;startHourIntraday=18&amp;startMinuteIntraday=0&amp;endDateIntraday=2020%2F08%2F02&amp;endHourIntraday=19&amp;endMinuteIntraday=0" htmlTables="1" htmlFormat="all"/>
  </connection>
  <connection id="346" name="Connection499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347" name="Connection5" type="4" refreshedVersion="6" background="1" saveData="1">
    <webPr xl2000="1" url="https://fclm-portal.amazon.com/ppa/inspect/node/csv?nodeType=DS&amp;warehouseId=DPD1&amp;maxIntradayDays=1&amp;spanType=Intraday&amp;startDateIntraday=2020%2F03%2F29&amp;startHourIntraday=2&amp;startMinuteIntraday=0&amp;endDateIntraday=2020%2F03%2F29&amp;endHourIntraday=3&amp;endMinuteIntraday=0" htmlTables="1" htmlFormat="all"/>
  </connection>
  <connection id="348" name="Connection50" type="4" refreshedVersion="6" background="1" saveData="1">
    <webPr xl2000="1" url="https://fclm-portal.amazon.com/ppa/inspect/node/csv?nodeType=DS&amp;warehouseId=DPD1&amp;maxIntradayDays=1&amp;spanType=Intraday&amp;startDateIntraday=2020%2F04%2F16&amp;startHourIntraday=10&amp;startMinuteIntraday=0&amp;endDateIntraday=2020%2F04%2F16&amp;endHourIntraday=11&amp;endMinuteIntraday=0" htmlTables="1" htmlFormat="all"/>
  </connection>
  <connection id="349" name="Connection500" type="4" refreshedVersion="6" background="1" saveData="1">
    <webPr xl2000="1" url="https://fclm-portal.amazon.com/ppa/inspect/node/csv?nodeType=DS&amp;warehouseId=DDC4&amp;maxIntradayDays=1&amp;spanType=Intraday&amp;startDateIntraday=2020%2F08%2F02&amp;startHourIntraday=20&amp;startMinuteIntraday=0&amp;endDateIntraday=2020%2F08%2F02&amp;endHourIntraday=21&amp;endMinuteIntraday=0" htmlTables="1" htmlFormat="all"/>
  </connection>
  <connection id="350" name="Connection501" type="4" refreshedVersion="6" background="1" saveData="1">
    <webPr xl2000="1" url="https://fclm-portal.amazon.com/ppa/inspect/node/csv?nodeType=DS&amp;warehouseId=DDC4&amp;maxIntradayDays=1&amp;spanType=Intraday&amp;startDateIntraday=2020%2F08%2F02&amp;startHourIntraday=21&amp;startMinuteIntraday=0&amp;endDateIntraday=2020%2F08%2F02&amp;endHourIntraday=22&amp;endMinuteIntraday=0" htmlTables="1" htmlFormat="all"/>
  </connection>
  <connection id="351" name="Connection502" type="4" refreshedVersion="6" background="1" saveData="1">
    <webPr xl2000="1" url="https://fclm-portal.amazon.com/ppa/inspect/node/csv?nodeType=DS&amp;warehouseId=DDC4&amp;maxIntradayDays=1&amp;spanType=Intraday&amp;startDateIntraday=2020%2F08%2F02&amp;startHourIntraday=22&amp;startMinuteIntraday=0&amp;endDateIntraday=2020%2F08%2F02&amp;endHourIntraday=23&amp;endMinuteIntraday=0" htmlTables="1" htmlFormat="all"/>
  </connection>
  <connection id="352" name="Connection503" type="4" refreshedVersion="6" background="1" saveData="1">
    <webPr xl2000="1" url="https://fclm-portal.amazon.com/ppa/inspect/node/csv?nodeType=DS&amp;warehouseId=DDC4&amp;maxIntradayDays=1&amp;spanType=Intraday&amp;startDateIntraday=2020%2F08%2F02&amp;startHourIntraday=23&amp;startMinuteIntraday=0&amp;endDateIntraday=2020%2F08%2F02&amp;endHourIntraday=0&amp;endMinuteIntraday=0" htmlTables="1" htmlFormat="all"/>
  </connection>
  <connection id="353" name="Connection504" type="4" refreshedVersion="6" background="1" saveData="1">
    <webPr xl2000="1" url="https://fclm-portal.amazon.com/ppa/inspect/node/csv?nodeType=DS&amp;warehouseId=DDC4&amp;maxIntradayDays=1&amp;spanType=Intraday&amp;startDateIntraday=2020%2F08%2F02&amp;startHourIntraday=23&amp;startMinuteIntraday=0&amp;endDateIntraday=2020%2F08%2F02&amp;endHourIntraday=0&amp;endMinuteIntraday=0" htmlTables="1" htmlFormat="all"/>
  </connection>
  <connection id="354" name="Connection505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355" name="Connection506" type="4" refreshedVersion="6" background="1" saveData="1">
    <webPr xl2000="1" url="https://fclm-portal.amazon.com/ppa/inspect/node/csv?nodeType=DS&amp;warehouseId=DDC4&amp;maxIntradayDays=1&amp;spanType=Intraday&amp;startDateIntraday=2020%2F08%2F02&amp;startHourIntraday=18&amp;startMinuteIntraday=0&amp;endDateIntraday=2020%2F08%2F02&amp;endHourIntraday=19&amp;endMinuteIntraday=0" htmlTables="1" htmlFormat="all"/>
  </connection>
  <connection id="356" name="Connection507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357" name="Connection508" type="4" refreshedVersion="6" background="1" saveData="1">
    <webPr xl2000="1" url="https://fclm-portal.amazon.com/ppa/inspect/node/csv?nodeType=DS&amp;warehouseId=DDC4&amp;maxIntradayDays=1&amp;spanType=Intraday&amp;startDateIntraday=2020%2F08%2F02&amp;startHourIntraday=20&amp;startMinuteIntraday=0&amp;endDateIntraday=2020%2F08%2F02&amp;endHourIntraday=21&amp;endMinuteIntraday=0" htmlTables="1" htmlFormat="all"/>
  </connection>
  <connection id="358" name="Connection509" type="4" refreshedVersion="6" background="1" saveData="1">
    <webPr xl2000="1" url="https://fclm-portal.amazon.com/ppa/inspect/node/csv?nodeType=DS&amp;warehouseId=DDC4&amp;maxIntradayDays=1&amp;spanType=Intraday&amp;startDateIntraday=2020%2F08%2F02&amp;startHourIntraday=21&amp;startMinuteIntraday=0&amp;endDateIntraday=2020%2F08%2F02&amp;endHourIntraday=22&amp;endMinuteIntraday=0" htmlTables="1" htmlFormat="all"/>
  </connection>
  <connection id="359" name="Connection51" type="4" refreshedVersion="6" background="1" saveData="1">
    <webPr xl2000="1" url="https://fclm-portal.amazon.com/ppa/inspect/node/csv?nodeType=DS&amp;warehouseId=DDC4&amp;maxIntradayDays=1&amp;spanType=Intraday&amp;startDateIntraday=2020%2F09%2F18&amp;startHourIntraday=7&amp;startMinuteIntraday=0&amp;endDateIntraday=2020%2F09%2F18&amp;endHourIntraday=9&amp;endMinuteIntraday=0" htmlTables="1" htmlFormat="all"/>
  </connection>
  <connection id="360" name="Connection510" type="4" refreshedVersion="6" background="1" saveData="1">
    <webPr xl2000="1" url="https://fclm-portal.amazon.com/ppa/inspect/node/csv?nodeType=DS&amp;warehouseId=DDC4&amp;maxIntradayDays=1&amp;spanType=Intraday&amp;startDateIntraday=2020%2F08%2F02&amp;startHourIntraday=22&amp;startMinuteIntraday=0&amp;endDateIntraday=2020%2F08%2F02&amp;endHourIntraday=23&amp;endMinuteIntraday=0" htmlTables="1" htmlFormat="all"/>
  </connection>
  <connection id="361" name="Connection511" type="4" refreshedVersion="6" background="1" saveData="1">
    <webPr xl2000="1" url="https://fclm-portal.amazon.com/ppa/inspect/node/csv?nodeType=DS&amp;warehouseId=DDC4&amp;maxIntradayDays=1&amp;spanType=Intraday&amp;startDateIntraday=2020%2F08%2F02&amp;startHourIntraday=0&amp;startMinuteIntraday=0&amp;endDateIntraday=2020%2F08%2F02&amp;endHourIntraday=1&amp;endMinuteIntraday=0" htmlTables="1" htmlFormat="all"/>
  </connection>
  <connection id="362" name="Connection512" type="4" refreshedVersion="6" background="1" saveData="1">
    <webPr xl2000="1" url="https://fclm-portal.amazon.com/ppa/inspect/node/csv?nodeType=DS&amp;warehouseId=DDC4&amp;maxIntradayDays=1&amp;spanType=Intraday&amp;startDateIntraday=2020%2F08%2F02&amp;startHourIntraday=1&amp;startMinuteIntraday=0&amp;endDateIntraday=2020%2F08%2F02&amp;endHourIntraday=2&amp;endMinuteIntraday=0" htmlTables="1" htmlFormat="all"/>
  </connection>
  <connection id="363" name="Connection513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364" name="Connection514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365" name="Connection515" type="4" refreshedVersion="6" background="1" saveData="1">
    <webPr xl2000="1" url="https://fclm-portal.amazon.com/ppa/inspect/node/csv?nodeType=DS&amp;warehouseId=DDC4&amp;maxIntradayDays=1&amp;spanType=Intraday&amp;startDateIntraday=2020%2F08%2F02&amp;startHourIntraday=4&amp;startMinuteIntraday=0&amp;endDateIntraday=2020%2F08%2F02&amp;endHourIntraday=5&amp;endMinuteIntraday=0" htmlTables="1" htmlFormat="all"/>
  </connection>
  <connection id="366" name="Connection516" type="4" refreshedVersion="6" background="1" saveData="1">
    <webPr xl2000="1" url="https://fclm-portal.amazon.com/ppa/inspect/node/csv?nodeType=DS&amp;warehouseId=DDC4&amp;maxIntradayDays=1&amp;spanType=Intraday&amp;startDateIntraday=2020%2F08%2F02&amp;startHourIntraday=5&amp;startMinuteIntraday=0&amp;endDateIntraday=2020%2F08%2F02&amp;endHourIntraday=6&amp;endMinuteIntraday=0" htmlTables="1" htmlFormat="all"/>
  </connection>
  <connection id="367" name="Connection517" type="4" refreshedVersion="6" background="1" saveData="1">
    <webPr xl2000="1" url="https://fclm-portal.amazon.com/ppa/inspect/node/csv?nodeType=DS&amp;warehouseId=DDC4&amp;maxIntradayDays=1&amp;spanType=Intraday&amp;startDateIntraday=2020%2F08%2F02&amp;startHourIntraday=6&amp;startMinuteIntraday=0&amp;endDateIntraday=2020%2F08%2F02&amp;endHourIntraday=7&amp;endMinuteIntraday=0" htmlTables="1" htmlFormat="all"/>
  </connection>
  <connection id="368" name="Connection518" type="4" refreshedVersion="6" background="1" saveData="1">
    <webPr xl2000="1" url="https://fclm-portal.amazon.com/ppa/inspect/node/csv?nodeType=DS&amp;warehouseId=DDC4&amp;maxIntradayDays=1&amp;spanType=Intraday&amp;startDateIntraday=2020%2F08%2F02&amp;startHourIntraday=7&amp;startMinuteIntraday=0&amp;endDateIntraday=2020%2F08%2F02&amp;endHourIntraday=8&amp;endMinuteIntraday=0" htmlTables="1" htmlFormat="all"/>
  </connection>
  <connection id="369" name="Connection519" type="4" refreshedVersion="6" background="1" saveData="1">
    <webPr xl2000="1" url="https://fclm-portal.amazon.com/ppa/inspect/node/csv?nodeType=DS&amp;warehouseId=DDC4&amp;maxIntradayDays=1&amp;spanType=Intraday&amp;startDateIntraday=2020%2F08%2F02&amp;startHourIntraday=8&amp;startMinuteIntraday=0&amp;endDateIntraday=2020%2F08%2F02&amp;endHourIntraday=9&amp;endMinuteIntraday=0" htmlTables="1" htmlFormat="all"/>
  </connection>
  <connection id="370" name="Connection52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0&amp;endDateIntraday=2020%2F09%2F18&amp;endHourIntraday=9&amp;endMinuteIntraday=0" htmlTables="1" htmlFormat="all"/>
  </connection>
  <connection id="371" name="Connection520" type="4" refreshedVersion="6" background="1" saveData="1">
    <webPr xl2000="1" url="https://fclm-portal.amazon.com/ppa/inspect/node/csv?nodeType=DS&amp;warehouseId=DDC4&amp;maxIntradayDays=1&amp;spanType=Intraday&amp;startDateIntraday=2020%2F08%2F02&amp;startHourIntraday=9&amp;startMinuteIntraday=0&amp;endDateIntraday=2020%2F08%2F02&amp;endHourIntraday=10&amp;endMinuteIntraday=0" htmlTables="1" htmlFormat="all"/>
  </connection>
  <connection id="372" name="Connection521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373" name="Connection522" type="4" refreshedVersion="6" background="1" saveData="1">
    <webPr xl2000="1" url="https://fclm-portal.amazon.com/ppa/inspect/node/csv?nodeType=DS&amp;warehouseId=DDC4&amp;maxIntradayDays=1&amp;spanType=Intraday&amp;startDateIntraday=2020%2F08%2F02&amp;startHourIntraday=11&amp;startMinuteIntraday=0&amp;endDateIntraday=2020%2F08%2F02&amp;endHourIntraday=12&amp;endMinuteIntraday=0" htmlTables="1" htmlFormat="all"/>
  </connection>
  <connection id="374" name="Connection523" type="4" refreshedVersion="6" background="1" saveData="1">
    <webPr xl2000="1" url="https://fclm-portal.amazon.com/ppa/inspect/node/csv?nodeType=DS&amp;warehouseId=DDC4&amp;maxIntradayDays=1&amp;spanType=Intraday&amp;startDateIntraday=2020%2F08%2F02&amp;startHourIntraday=12&amp;startMinuteIntraday=0&amp;endDateIntraday=2020%2F08%2F02&amp;endHourIntraday=13&amp;endMinuteIntraday=0" htmlTables="1" htmlFormat="all"/>
  </connection>
  <connection id="375" name="Connection524" type="4" refreshedVersion="6" background="1" saveData="1">
    <webPr xl2000="1" url="https://fclm-portal.amazon.com/ppa/inspect/node/csv?nodeType=DS&amp;warehouseId=DDC4&amp;maxIntradayDays=1&amp;spanType=Intraday&amp;startDateIntraday=2020%2F08%2F05&amp;startHourIntraday=17&amp;startMinuteIntraday=0&amp;endDateIntraday=2020%2F08%2F05&amp;endHourIntraday=18&amp;endMinuteIntraday=0" htmlTables="1" htmlFormat="all"/>
  </connection>
  <connection id="376" name="Connection525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377" name="Connection526" type="4" refreshedVersion="6" background="1" saveData="1">
    <webPr xl2000="1" url="https://fclm-portal.amazon.com/ppa/inspect/node/csv?nodeType=DS&amp;warehouseId=DDC4&amp;maxIntradayDays=1&amp;spanType=Intraday&amp;startDateIntraday=2020%2F08%2F04&amp;startHourIntraday=9&amp;startMinuteIntraday=0&amp;endDateIntraday=2020%2F08%2F04&amp;endHourIntraday=10&amp;endMinuteIntraday=0" htmlTables="1" htmlFormat="all"/>
  </connection>
  <connection id="378" name="Connection527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379" name="Connection528" type="4" refreshedVersion="6" background="1" saveData="1">
    <webPr xl2000="1" url="https://fclm-portal.amazon.com/ppa/inspect/node/csv?nodeType=DS&amp;warehouseId=DDC4&amp;maxIntradayDays=1&amp;spanType=Intraday&amp;startDateIntraday=2020%2F08%2F02&amp;startHourIntraday=18&amp;startMinuteIntraday=0&amp;endDateIntraday=2020%2F08%2F02&amp;endHourIntraday=19&amp;endMinuteIntraday=0" htmlTables="1" htmlFormat="all"/>
  </connection>
  <connection id="380" name="Connection529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381" name="Connection53" type="4" refreshedVersion="6" background="1" saveData="1">
    <webPr xl2000="1" url="https://fclm-portal.amazon.com/ppa/inspect/node/csv?nodeType=DS&amp;warehouseId=DDC4&amp;maxIntradayDays=1&amp;spanType=Intraday&amp;startDateIntraday=2020%2F09%2F18&amp;startHourIntraday=14&amp;startMinuteIntraday=0&amp;endDateIntraday=2020%2F09%2F18&amp;endHourIntraday=16&amp;endMinuteIntraday=0" htmlTables="1" htmlFormat="all"/>
  </connection>
  <connection id="382" name="Connection530" type="4" refreshedVersion="6" background="1" saveData="1">
    <webPr xl2000="1" url="https://fclm-portal.amazon.com/ppa/inspect/node/csv?nodeType=DS&amp;warehouseId=DDC4&amp;maxIntradayDays=1&amp;spanType=Intraday&amp;startDateIntraday=2020%2F08%2F02&amp;startHourIntraday=20&amp;startMinuteIntraday=0&amp;endDateIntraday=2020%2F08%2F02&amp;endHourIntraday=21&amp;endMinuteIntraday=0" htmlTables="1" htmlFormat="all"/>
  </connection>
  <connection id="383" name="Connection531" type="4" refreshedVersion="6" background="1" saveData="1">
    <webPr xl2000="1" url="https://fclm-portal.amazon.com/ppa/inspect/node/csv?nodeType=DS&amp;warehouseId=DDC4&amp;maxIntradayDays=1&amp;spanType=Intraday&amp;startDateIntraday=2020%2F08%2F02&amp;startHourIntraday=21&amp;startMinuteIntraday=0&amp;endDateIntraday=2020%2F08%2F02&amp;endHourIntraday=22&amp;endMinuteIntraday=0" htmlTables="1" htmlFormat="all"/>
  </connection>
  <connection id="384" name="Connection532" type="4" refreshedVersion="6" background="1" saveData="1">
    <webPr xl2000="1" url="https://fclm-portal.amazon.com/ppa/inspect/node/csv?nodeType=DS&amp;warehouseId=DDC4&amp;maxIntradayDays=1&amp;spanType=Intraday&amp;startDateIntraday=2020%2F08%2F04&amp;startHourIntraday=5&amp;startMinuteIntraday=0&amp;endDateIntraday=2020%2F08%2F04&amp;endHourIntraday=6&amp;endMinuteIntraday=0" htmlTables="1" htmlFormat="all"/>
  </connection>
  <connection id="385" name="Connection533" type="4" refreshedVersion="6" background="1" saveData="1">
    <webPr xl2000="1" url="https://fclm-portal.amazon.com/ppa/inspect/node/csv?nodeType=DS&amp;warehouseId=DDC4&amp;maxIntradayDays=1&amp;spanType=Intraday&amp;startDateIntraday=2020%2F08%2F07&amp;startHourIntraday=7&amp;startMinuteIntraday=0&amp;endDateIntraday=2020%2F08%2F07&amp;endHourIntraday=8&amp;endMinuteIntraday=0" htmlTables="1" htmlFormat="all"/>
  </connection>
  <connection id="386" name="Connection534" type="4" refreshedVersion="6" background="1" saveData="1">
    <webPr xl2000="1" url="https://fclm-portal.amazon.com/ppa/inspect/node/csv?nodeType=DS&amp;warehouseId=DDC4&amp;maxIntradayDays=1&amp;spanType=Intraday&amp;startDateIntraday=2020%2F08%2F03&amp;startHourIntraday=7&amp;startMinuteIntraday=0&amp;endDateIntraday=2020%2F08%2F03&amp;endHourIntraday=8&amp;endMinuteIntraday=0" htmlTables="1" htmlFormat="all"/>
  </connection>
  <connection id="387" name="Connection535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388" name="Connection536" type="4" refreshedVersion="6" background="1" saveData="1">
    <webPr xl2000="1" url="https://fclm-portal.amazon.com/ppa/inspect/node/csv?nodeType=DS&amp;warehouseId=DDC4&amp;maxIntradayDays=1&amp;spanType=Intraday&amp;startDateIntraday=2020%2F08%2F04&amp;startHourIntraday=4&amp;startMinuteIntraday=0&amp;endDateIntraday=2020%2F08%2F04&amp;endHourIntraday=5&amp;endMinuteIntraday=0" htmlTables="1" htmlFormat="all"/>
  </connection>
  <connection id="389" name="Connection537" type="4" refreshedVersion="6" background="1" saveData="1">
    <webPr xl2000="1" url="https://fclm-portal.amazon.com/ppa/inspect/node/csv?nodeType=DS&amp;warehouseId=DDC4&amp;maxIntradayDays=1&amp;spanType=Intraday&amp;startDateIntraday=2020%2F08%2F04&amp;startHourIntraday=5&amp;startMinuteIntraday=0&amp;endDateIntraday=2020%2F08%2F04&amp;endHourIntraday=6&amp;endMinuteIntraday=0" htmlTables="1" htmlFormat="all"/>
  </connection>
  <connection id="390" name="Connection538" type="4" refreshedVersion="6" background="1" saveData="1">
    <webPr xl2000="1" url="https://fclm-portal.amazon.com/ppa/inspect/node/csv?nodeType=DS&amp;warehouseId=DDC4&amp;maxIntradayDays=1&amp;spanType=Intraday&amp;startDateIntraday=2020%2F08%2F04&amp;startHourIntraday=6&amp;startMinuteIntraday=0&amp;endDateIntraday=2020%2F08%2F04&amp;endHourIntraday=7&amp;endMinuteIntraday=0" htmlTables="1" htmlFormat="all"/>
  </connection>
  <connection id="391" name="Connection539" type="4" refreshedVersion="6" background="1" saveData="1">
    <webPr xl2000="1" url="https://fclm-portal.amazon.com/ppa/inspect/node/csv?nodeType=DS&amp;warehouseId=DDC4&amp;maxIntradayDays=1&amp;spanType=Intraday&amp;startDateIntraday=2020%2F08%2F04&amp;startHourIntraday=7&amp;startMinuteIntraday=0&amp;endDateIntraday=2020%2F08%2F04&amp;endHourIntraday=8&amp;endMinuteIntraday=0" htmlTables="1" htmlFormat="all"/>
  </connection>
  <connection id="392" name="Connection54" type="4" refreshedVersion="6" background="1" saveData="1">
    <webPr xl2000="1" url="https://fclm-portal.amazon.com/ppa/inspect/node/csv?nodeType=DS&amp;warehouseId=DPD1&amp;maxIntradayDays=1&amp;spanType=Intraday&amp;startDateIntraday=2020%2F04%2F15&amp;startHourIntraday=8&amp;startMinuteIntraday=0&amp;endDateIntraday=2020%2F04%2F15&amp;endHourIntraday=9&amp;endMinuteIntraday=0" htmlTables="1" htmlFormat="all"/>
  </connection>
  <connection id="393" name="Connection540" type="4" refreshedVersion="6" background="1" saveData="1">
    <webPr xl2000="1" url="https://fclm-portal.amazon.com/ppa/inspect/node/csv?nodeType=DS&amp;warehouseId=DDC4&amp;maxIntradayDays=1&amp;spanType=Intraday&amp;startDateIntraday=2020%2F08%2F04&amp;startHourIntraday=8&amp;startMinuteIntraday=0&amp;endDateIntraday=2020%2F08%2F04&amp;endHourIntraday=9&amp;endMinuteIntraday=0" htmlTables="1" htmlFormat="all"/>
  </connection>
  <connection id="394" name="Connection541" type="4" refreshedVersion="6" background="1" saveData="1">
    <webPr xl2000="1" url="https://fclm-portal.amazon.com/ppa/inspect/node/csv?nodeType=DS&amp;warehouseId=DDC4&amp;maxIntradayDays=1&amp;spanType=Intraday&amp;startDateIntraday=2020%2F08%2F04&amp;startHourIntraday=9&amp;startMinuteIntraday=0&amp;endDateIntraday=2020%2F08%2F04&amp;endHourIntraday=10&amp;endMinuteIntraday=0" htmlTables="1" htmlFormat="all"/>
  </connection>
  <connection id="395" name="Connection542" type="4" refreshedVersion="6" background="1" saveData="1">
    <webPr xl2000="1" url="https://fclm-portal.amazon.com/ppa/inspect/node/csv?nodeType=DS&amp;warehouseId=DDC4&amp;maxIntradayDays=1&amp;spanType=Intraday&amp;startDateIntraday=2020%2F08%2F03&amp;startHourIntraday=6&amp;startMinuteIntraday=0&amp;endDateIntraday=2020%2F08%2F03&amp;endHourIntraday=7&amp;endMinuteIntraday=0" htmlTables="1" htmlFormat="all"/>
  </connection>
  <connection id="396" name="Connection543" type="4" refreshedVersion="6" background="1" saveData="1">
    <webPr xl2000="1" url="https://fclm-portal.amazon.com/ppa/inspect/node/csv?nodeType=DS&amp;warehouseId=DDC4&amp;maxIntradayDays=1&amp;spanType=Intraday&amp;startDateIntraday=2020%2F08%2F03&amp;startHourIntraday=7&amp;startMinuteIntraday=0&amp;endDateIntraday=2020%2F08%2F03&amp;endHourIntraday=8&amp;endMinuteIntraday=0" htmlTables="1" htmlFormat="all"/>
  </connection>
  <connection id="397" name="Connection544" type="4" refreshedVersion="6" background="1" saveData="1">
    <webPr xl2000="1" url="https://fclm-portal.amazon.com/ppa/inspect/node/csv?nodeType=DS&amp;warehouseId=DDC4&amp;maxIntradayDays=1&amp;spanType=Intraday&amp;startDateIntraday=2020%2F08%2F03&amp;startHourIntraday=8&amp;startMinuteIntraday=0&amp;endDateIntraday=2020%2F08%2F03&amp;endHourIntraday=9&amp;endMinuteIntraday=0" htmlTables="1" htmlFormat="all"/>
  </connection>
  <connection id="398" name="Connection545" type="4" refreshedVersion="6" background="1" saveData="1">
    <webPr xl2000="1" url="https://fclm-portal.amazon.com/ppa/inspect/node/csv?nodeType=DS&amp;warehouseId=DDC4&amp;maxIntradayDays=1&amp;spanType=Intraday&amp;startDateIntraday=2020%2F08%2F03&amp;startHourIntraday=9&amp;startMinuteIntraday=0&amp;endDateIntraday=2020%2F08%2F03&amp;endHourIntraday=10&amp;endMinuteIntraday=0" htmlTables="1" htmlFormat="all"/>
  </connection>
  <connection id="399" name="Connection546" type="4" refreshedVersion="6" background="1" saveData="1">
    <webPr xl2000="1" url="https://fclm-portal.amazon.com/ppa/inspect/node/csv?nodeType=DS&amp;warehouseId=DDC4&amp;maxIntradayDays=1&amp;spanType=Intraday&amp;startDateIntraday=2020%2F08%2F03&amp;startHourIntraday=10&amp;startMinuteIntraday=0&amp;endDateIntraday=2020%2F08%2F03&amp;endHourIntraday=11&amp;endMinuteIntraday=0" htmlTables="1" htmlFormat="all"/>
  </connection>
  <connection id="400" name="Connection547" type="4" refreshedVersion="6" background="1" saveData="1">
    <webPr xl2000="1" url="https://fclm-portal.amazon.com/ppa/inspect/node/csv?nodeType=DS&amp;warehouseId=DDC4&amp;maxIntradayDays=1&amp;spanType=Intraday&amp;startDateIntraday=2020%2F08%2F03&amp;startHourIntraday=11&amp;startMinuteIntraday=0&amp;endDateIntraday=2020%2F08%2F03&amp;endHourIntraday=12&amp;endMinuteIntraday=0" htmlTables="1" htmlFormat="all"/>
  </connection>
  <connection id="401" name="Connection548" type="4" refreshedVersion="6" background="1" saveData="1">
    <webPr xl2000="1" url="https://fclm-portal.amazon.com/ppa/inspect/node/csv?nodeType=DS&amp;warehouseId=DDC4&amp;maxIntradayDays=1&amp;spanType=Intraday&amp;startDateIntraday=2020%2F08%2F03&amp;startHourIntraday=12&amp;startMinuteIntraday=0&amp;endDateIntraday=2020%2F08%2F03&amp;endHourIntraday=13&amp;endMinuteIntraday=0" htmlTables="1" htmlFormat="all"/>
  </connection>
  <connection id="402" name="Connection549" type="4" refreshedVersion="6" background="1" saveData="1">
    <webPr xl2000="1" url="https://fclm-portal.amazon.com/ppa/inspect/node/csv?nodeType=DS&amp;warehouseId=DDC4&amp;maxIntradayDays=1&amp;spanType=Intraday&amp;startDateIntraday=2020%2F08%2F02&amp;startHourIntraday=23&amp;startMinuteIntraday=0&amp;endDateIntraday=2020%2F08%2F03&amp;endHourIntraday=0&amp;endMinuteIntraday=0" htmlTables="1" htmlFormat="all"/>
  </connection>
  <connection id="403" name="Connection55" type="4" refreshedVersion="6" background="1" saveData="1">
    <webPr xl2000="1" url="https://fclm-portal.amazon.com/ppa/inspect/node/csv?nodeType=DS&amp;warehouseId=DDC4&amp;maxIntradayDays=1&amp;spanType=Intraday&amp;startDateIntraday=2020%2F09%2F18&amp;startHourIntraday=17&amp;startMinuteIntraday=0&amp;endDateIntraday=2020%2F09%2F18&amp;endHourIntraday=19&amp;endMinuteIntraday=0" htmlTables="1" htmlFormat="all"/>
  </connection>
  <connection id="404" name="Connection550" type="4" refreshedVersion="6" background="1" saveData="1">
    <webPr xl2000="1" url="https://fclm-portal.amazon.com/ppa/inspect/node/csv?nodeType=DS&amp;warehouseId=DDC4&amp;maxIntradayDays=1&amp;spanType=Intraday&amp;startDateIntraday=2020%2F08%2F01&amp;startHourIntraday=23&amp;startMinuteIntraday=0&amp;endDateIntraday=2020%2F08%2F02&amp;endHourIntraday=0&amp;endMinuteIntraday=0" htmlTables="1" htmlFormat="all"/>
  </connection>
  <connection id="405" name="Connection551" type="4" refreshedVersion="6" background="1" saveData="1">
    <webPr xl2000="1" url="https://fclm-portal.amazon.com/ppa/inspect/node/csv?nodeType=DS&amp;warehouseId=DDC4&amp;maxIntradayDays=1&amp;spanType=Intraday&amp;startDateIntraday=2020%2F08%2F01&amp;startHourIntraday=20&amp;startMinuteIntraday=0&amp;endDateIntraday=2020%2F08%2F01&amp;endHourIntraday=21&amp;endMinuteIntraday=0" htmlTables="1" htmlFormat="all"/>
  </connection>
  <connection id="406" name="Connection552" type="4" refreshedVersion="6" background="1" saveData="1">
    <webPr xl2000="1" url="https://fclm-portal.amazon.com/ppa/inspect/node/csv?nodeType=DS&amp;warehouseId=DDC4&amp;maxIntradayDays=1&amp;spanType=Intraday&amp;startDateIntraday=2020%2F08%2F01&amp;startHourIntraday=21&amp;startMinuteIntraday=0&amp;endDateIntraday=2020%2F08%2F01&amp;endHourIntraday=22&amp;endMinuteIntraday=0" htmlTables="1" htmlFormat="all"/>
  </connection>
  <connection id="407" name="Connection553" type="4" refreshedVersion="6" background="1" saveData="1">
    <webPr xl2000="1" url="https://fclm-portal.amazon.com/ppa/inspect/node/csv?nodeType=DS&amp;warehouseId=DDC4&amp;maxIntradayDays=1&amp;spanType=Intraday&amp;startDateIntraday=2020%2F08%2F01&amp;startHourIntraday=22&amp;startMinuteIntraday=0&amp;endDateIntraday=2020%2F08%2F01&amp;endHourIntraday=23&amp;endMinuteIntraday=0" htmlTables="1" htmlFormat="all"/>
  </connection>
  <connection id="408" name="Connection554" type="4" refreshedVersion="6" background="1" saveData="1">
    <webPr xl2000="1" url="https://fclm-portal.amazon.com/ppa/inspect/node/csv?nodeType=DS&amp;warehouseId=DDC4&amp;maxIntradayDays=1&amp;spanType=Intraday&amp;startDateIntraday=2020%2F08%2F01&amp;startHourIntraday=23&amp;startMinuteIntraday=0&amp;endDateIntraday=2020%2F08%2F02&amp;endHourIntraday=0&amp;endMinuteIntraday=0" htmlTables="1" htmlFormat="all"/>
  </connection>
  <connection id="409" name="Connection555" type="4" refreshedVersion="6" background="1" saveData="1">
    <webPr xl2000="1" url="https://fclm-portal.amazon.com/ppa/inspect/node/csv?nodeType=DS&amp;warehouseId=DDC4&amp;maxIntradayDays=1&amp;spanType=Intraday&amp;startDateIntraday=2020%2F08%2F02&amp;startHourIntraday=0&amp;startMinuteIntraday=0&amp;endDateIntraday=2020%2F08%2F02&amp;endHourIntraday=1&amp;endMinuteIntraday=0" htmlTables="1" htmlFormat="all"/>
  </connection>
  <connection id="410" name="Connection556" type="4" refreshedVersion="6" background="1" saveData="1">
    <webPr xl2000="1" url="https://fclm-portal.amazon.com/ppa/inspect/node/csv?nodeType=DS&amp;warehouseId=DDC4&amp;maxIntradayDays=1&amp;spanType=Intraday&amp;startDateIntraday=2020%2F08%2F02&amp;startHourIntraday=1&amp;startMinuteIntraday=0&amp;endDateIntraday=2020%2F08%2F02&amp;endHourIntraday=2&amp;endMinuteIntraday=0" htmlTables="1" htmlFormat="all"/>
  </connection>
  <connection id="411" name="Connection557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412" name="Connection558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413" name="Connection559" type="4" refreshedVersion="6" background="1" saveData="1">
    <webPr xl2000="1" url="https://fclm-portal.amazon.com/ppa/inspect/node/csv?nodeType=DS&amp;warehouseId=DDC4&amp;maxIntradayDays=1&amp;spanType=Intraday&amp;startDateIntraday=2020%2F08%2F02&amp;startHourIntraday=4&amp;startMinuteIntraday=0&amp;endDateIntraday=2020%2F08%2F02&amp;endHourIntraday=5&amp;endMinuteIntraday=0" htmlTables="1" htmlFormat="all"/>
  </connection>
  <connection id="414" name="Connection56" type="4" refreshedVersion="6" background="1" saveData="1">
    <webPr xl2000="1" url="https://fclm-portal.amazon.com/ppa/inspect/node/csv?nodeType=DS&amp;warehouseId=DDC4&amp;maxIntradayDays=1&amp;spanType=Intraday&amp;startDateIntraday=2020%2F09%2F18&amp;startHourIntraday=17&amp;startMinuteIntraday=30&amp;endDateIntraday=2020%2F09%2F18&amp;endHourIntraday=21&amp;endMinuteIntraday=0" htmlTables="1" htmlFormat="all"/>
  </connection>
  <connection id="415" name="Connection560" type="4" refreshedVersion="6" background="1" saveData="1">
    <webPr xl2000="1" url="https://fclm-portal.amazon.com/ppa/inspect/node/csv?nodeType=DS&amp;warehouseId=DDC4&amp;maxIntradayDays=1&amp;spanType=Intraday&amp;startDateIntraday=2020%2F08%2F02&amp;startHourIntraday=12&amp;startMinuteIntraday=0&amp;endDateIntraday=2020%2F08%2F02&amp;endHourIntraday=13&amp;endMinuteIntraday=0" htmlTables="1" htmlFormat="all"/>
  </connection>
  <connection id="416" name="Connection561" type="4" refreshedVersion="6" background="1" saveData="1">
    <webPr xl2000="1" url="https://fclm-portal.amazon.com/ppa/inspect/node/csv?nodeType=DS&amp;warehouseId=DDC4&amp;maxIntradayDays=1&amp;spanType=Intraday&amp;startDateIntraday=2020%2F08%2F02&amp;startHourIntraday=13&amp;startMinuteIntraday=0&amp;endDateIntraday=2020%2F08%2F02&amp;endHourIntraday=14&amp;endMinuteIntraday=0" htmlTables="1" htmlFormat="all"/>
  </connection>
  <connection id="417" name="Connection562" type="4" refreshedVersion="6" background="1" saveData="1">
    <webPr xl2000="1" url="https://fclm-portal.amazon.com/ppa/inspect/node/csv?nodeType=DS&amp;warehouseId=DDC4&amp;maxIntradayDays=1&amp;spanType=Intraday&amp;startDateIntraday=2020%2F08%2F02&amp;startHourIntraday=14&amp;startMinuteIntraday=0&amp;endDateIntraday=2020%2F08%2F02&amp;endHourIntraday=15&amp;endMinuteIntraday=0" htmlTables="1" htmlFormat="all"/>
  </connection>
  <connection id="418" name="Connection563" type="4" refreshedVersion="6" background="1" saveData="1">
    <webPr xl2000="1" url="https://fclm-portal.amazon.com/ppa/inspect/node/csv?nodeType=DS&amp;warehouseId=DDC4&amp;maxIntradayDays=1&amp;spanType=Intraday&amp;startDateIntraday=2020%2F08%2F02&amp;startHourIntraday=15&amp;startMinuteIntraday=0&amp;endDateIntraday=2020%2F08%2F02&amp;endHourIntraday=16&amp;endMinuteIntraday=0" htmlTables="1" htmlFormat="all"/>
  </connection>
  <connection id="419" name="Connection564" type="4" refreshedVersion="6" background="1" saveData="1">
    <webPr xl2000="1" url="https://fclm-portal.amazon.com/ppa/inspect/node/csv?nodeType=DS&amp;warehouseId=DDC4&amp;maxIntradayDays=1&amp;spanType=Intraday&amp;startDateIntraday=2020%2F08%2F02&amp;startHourIntraday=16&amp;startMinuteIntraday=0&amp;endDateIntraday=2020%2F08%2F02&amp;endHourIntraday=17&amp;endMinuteIntraday=0" htmlTables="1" htmlFormat="all"/>
  </connection>
  <connection id="420" name="Connection565" type="4" refreshedVersion="6" background="1" saveData="1">
    <webPr xl2000="1" url="https://fclm-portal.amazon.com/ppa/inspect/node/csv?nodeType=DS&amp;warehouseId=DDC4&amp;maxIntradayDays=1&amp;spanType=Intraday&amp;startDateIntraday=2020%2F08%2F02&amp;startHourIntraday=16&amp;startMinuteIntraday=0&amp;endDateIntraday=2020%2F08%2F02&amp;endHourIntraday=17&amp;endMinuteIntraday=0" htmlTables="1" htmlFormat="all"/>
  </connection>
  <connection id="421" name="Connection566" type="4" refreshedVersion="6" background="1" saveData="1">
    <webPr xl2000="1" url="https://fclm-portal.amazon.com/ppa/inspect/node/csv?nodeType=DS&amp;warehouseId=DDC4&amp;maxIntradayDays=1&amp;spanType=Intraday&amp;startDateIntraday=2020%2F08%2F02&amp;startHourIntraday=5&amp;startMinuteIntraday=0&amp;endDateIntraday=2020%2F08%2F02&amp;endHourIntraday=6&amp;endMinuteIntraday=0" htmlTables="1" htmlFormat="all"/>
  </connection>
  <connection id="422" name="Connection567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423" name="Connection568" type="4" refreshedVersion="6" background="1" saveData="1">
    <webPr xl2000="1" url="https://fclm-portal.amazon.com/ppa/inspect/node/csv?nodeType=DS&amp;warehouseId=DDC4&amp;maxIntradayDays=1&amp;spanType=Intraday&amp;startDateIntraday=2020%2F08%2F02&amp;startHourIntraday=20&amp;startMinuteIntraday=0&amp;endDateIntraday=2020%2F08%2F02&amp;endHourIntraday=21&amp;endMinuteIntraday=0" htmlTables="1" htmlFormat="all"/>
  </connection>
  <connection id="424" name="Connection569" type="4" refreshedVersion="6" background="1" saveData="1">
    <webPr xl2000="1" url="https://fclm-portal.amazon.com/ppa/inspect/node/csv?nodeType=DS&amp;warehouseId=DDC4&amp;maxIntradayDays=1&amp;spanType=Intraday&amp;startDateIntraday=2020%2F08%2F02&amp;startHourIntraday=21&amp;startMinuteIntraday=0&amp;endDateIntraday=2020%2F08%2F02&amp;endHourIntraday=22&amp;endMinuteIntraday=0" htmlTables="1" htmlFormat="all"/>
  </connection>
  <connection id="425" name="Connection57" type="4" refreshedVersion="6" background="1" saveData="1">
    <webPr xl2000="1" url="https://fclm-portal.amazon.com/ppa/inspect/node/csv?nodeType=DS&amp;warehouseId=DDC4&amp;maxIntradayDays=1&amp;spanType=Intraday&amp;startDateIntraday=2020%2F09%2F18&amp;startHourIntraday=5&amp;startMinuteIntraday=30&amp;endDateIntraday=2020%2F09%2F18&amp;endHourIntraday=9&amp;endMinuteIntraday=0" htmlTables="1" htmlFormat="all"/>
  </connection>
  <connection id="426" name="Connection570" type="4" refreshedVersion="6" background="1" saveData="1">
    <webPr xl2000="1" url="https://fclm-portal.amazon.com/ppa/inspect/node/csv?nodeType=DS&amp;warehouseId=DDC4&amp;maxIntradayDays=1&amp;spanType=Intraday&amp;startDateIntraday=2020%2F08%2F02&amp;startHourIntraday=18&amp;startMinuteIntraday=0&amp;endDateIntraday=2020%2F08%2F02&amp;endHourIntraday=19&amp;endMinuteIntraday=0" htmlTables="1" htmlFormat="all"/>
  </connection>
  <connection id="427" name="Connection571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428" name="Connection572" type="4" refreshedVersion="6" background="1" saveData="1">
    <webPr xl2000="1" url="https://fclm-portal.amazon.com/ppa/inspect/node/csv?nodeType=DS&amp;warehouseId=DDC4&amp;maxIntradayDays=1&amp;spanType=Intraday&amp;startDateIntraday=2020%2F08%2F02&amp;startHourIntraday=20&amp;startMinuteIntraday=0&amp;endDateIntraday=2020%2F08%2F02&amp;endHourIntraday=21&amp;endMinuteIntraday=0" htmlTables="1" htmlFormat="all"/>
  </connection>
  <connection id="429" name="Connection573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430" name="Connection574" type="4" refreshedVersion="6" background="1" saveData="1">
    <webPr xl2000="1" url="https://fclm-portal.amazon.com/ppa/inspect/node/csv?nodeType=DS&amp;warehouseId=DDC4&amp;maxIntradayDays=1&amp;spanType=Intraday&amp;startDateIntraday=2020%2F08%2F02&amp;startHourIntraday=20&amp;startMinuteIntraday=0&amp;endDateIntraday=2020%2F08%2F02&amp;endHourIntraday=21&amp;endMinuteIntraday=0" htmlTables="1" htmlFormat="all"/>
  </connection>
  <connection id="431" name="Connection575" type="4" refreshedVersion="6" background="1" saveData="1">
    <webPr xl2000="1" url="https://fclm-portal.amazon.com/ppa/inspect/node/csv?nodeType=DS&amp;warehouseId=DDC4&amp;maxIntradayDays=1&amp;spanType=Intraday&amp;startDateIntraday=2020%2F08%2F04&amp;startHourIntraday=4&amp;startMinuteIntraday=0&amp;endDateIntraday=2020%2F08%2F04&amp;endHourIntraday=5&amp;endMinuteIntraday=0" htmlTables="1" htmlFormat="all"/>
  </connection>
  <connection id="432" name="Connection576" type="4" refreshedVersion="6" background="1" saveData="1">
    <webPr xl2000="1" url="https://fclm-portal.amazon.com/ppa/inspect/node/csv?nodeType=DS&amp;warehouseId=DDC4&amp;maxIntradayDays=1&amp;spanType=Intraday&amp;startDateIntraday=2020%2F08%2F04&amp;startHourIntraday=5&amp;startMinuteIntraday=0&amp;endDateIntraday=2020%2F08%2F04&amp;endHourIntraday=6&amp;endMinuteIntraday=0" htmlTables="1" htmlFormat="all"/>
  </connection>
  <connection id="433" name="Connection577" type="4" refreshedVersion="6" background="1" saveData="1">
    <webPr xl2000="1" url="https://fclm-portal.amazon.com/ppa/inspect/node/csv?nodeType=DS&amp;warehouseId=DDC4&amp;maxIntradayDays=1&amp;spanType=Intraday&amp;startDateIntraday=2020%2F08%2F04&amp;startHourIntraday=6&amp;startMinuteIntraday=0&amp;endDateIntraday=2020%2F08%2F04&amp;endHourIntraday=7&amp;endMinuteIntraday=0" htmlTables="1" htmlFormat="all"/>
  </connection>
  <connection id="434" name="Connection578" type="4" refreshedVersion="6" background="1" saveData="1">
    <webPr xl2000="1" url="https://fclm-portal.amazon.com/ppa/inspect/node/csv?nodeType=DS&amp;warehouseId=DDC4&amp;maxIntradayDays=1&amp;spanType=Intraday&amp;startDateIntraday=2020%2F08%2F04&amp;startHourIntraday=7&amp;startMinuteIntraday=0&amp;endDateIntraday=2020%2F08%2F04&amp;endHourIntraday=8&amp;endMinuteIntraday=0" htmlTables="1" htmlFormat="all"/>
  </connection>
  <connection id="435" name="Connection579" type="4" refreshedVersion="6" background="1" saveData="1">
    <webPr xl2000="1" url="https://fclm-portal.amazon.com/ppa/inspect/node/csv?nodeType=DS&amp;warehouseId=DDC4&amp;maxIntradayDays=1&amp;spanType=Intraday&amp;startDateIntraday=2020%2F08%2F04&amp;startHourIntraday=8&amp;startMinuteIntraday=0&amp;endDateIntraday=2020%2F08%2F04&amp;endHourIntraday=9&amp;endMinuteIntraday=0" htmlTables="1" htmlFormat="all"/>
  </connection>
  <connection id="436" name="Connection58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30&amp;endDateIntraday=2020%2F09%2F18&amp;endHourIntraday=9&amp;endMinuteIntraday=0" htmlTables="1" htmlFormat="all"/>
  </connection>
  <connection id="437" name="Connection580" type="4" refreshedVersion="6" background="1" saveData="1">
    <webPr xl2000="1" url="https://fclm-portal.amazon.com/ppa/inspect/node/csv?nodeType=DS&amp;warehouseId=DDC4&amp;maxIntradayDays=1&amp;spanType=Intraday&amp;startDateIntraday=2020%2F08%2F04&amp;startHourIntraday=9&amp;startMinuteIntraday=0&amp;endDateIntraday=2020%2F08%2F04&amp;endHourIntraday=10&amp;endMinuteIntraday=0" htmlTables="1" htmlFormat="all"/>
  </connection>
  <connection id="438" name="Connection581" type="4" refreshedVersion="6" background="1" saveData="1">
    <webPr xl2000="1" url="https://fclm-portal.amazon.com/ppa/inspect/node/csv?nodeType=DS&amp;warehouseId=DDC4&amp;maxIntradayDays=1&amp;spanType=Intraday&amp;startDateIntraday=2020%2F08%2F04&amp;startHourIntraday=4&amp;startMinuteIntraday=0&amp;endDateIntraday=2020%2F08%2F04&amp;endHourIntraday=5&amp;endMinuteIntraday=0" htmlTables="1" htmlFormat="all"/>
  </connection>
  <connection id="439" name="Connection582" type="4" refreshedVersion="6" background="1" saveData="1">
    <webPr xl2000="1" url="https://fclm-portal.amazon.com/ppa/inspect/node/csv?nodeType=DS&amp;warehouseId=DDC4&amp;maxIntradayDays=1&amp;spanType=Intraday&amp;startDateIntraday=2020%2F08%2F04&amp;startHourIntraday=5&amp;startMinuteIntraday=0&amp;endDateIntraday=2020%2F08%2F04&amp;endHourIntraday=6&amp;endMinuteIntraday=0" htmlTables="1" htmlFormat="all"/>
  </connection>
  <connection id="440" name="Connection583" type="4" refreshedVersion="6" background="1" saveData="1">
    <webPr xl2000="1" url="https://fclm-portal.amazon.com/ppa/inspect/node/csv?nodeType=DS&amp;warehouseId=DDC4&amp;maxIntradayDays=1&amp;spanType=Intraday&amp;startDateIntraday=2020%2F08%2F04&amp;startHourIntraday=6&amp;startMinuteIntraday=0&amp;endDateIntraday=2020%2F08%2F04&amp;endHourIntraday=7&amp;endMinuteIntraday=0" htmlTables="1" htmlFormat="all"/>
  </connection>
  <connection id="441" name="Connection584" type="4" refreshedVersion="6" background="1" saveData="1">
    <webPr xl2000="1" url="https://fclm-portal.amazon.com/ppa/inspect/node/csv?nodeType=DS&amp;warehouseId=DDC4&amp;maxIntradayDays=1&amp;spanType=Intraday&amp;startDateIntraday=2020%2F08%2F04&amp;startHourIntraday=7&amp;startMinuteIntraday=0&amp;endDateIntraday=2020%2F08%2F04&amp;endHourIntraday=8&amp;endMinuteIntraday=0" htmlTables="1" htmlFormat="all"/>
  </connection>
  <connection id="442" name="Connection585" type="4" refreshedVersion="6" background="1" saveData="1">
    <webPr xl2000="1" url="https://fclm-portal.amazon.com/ppa/inspect/node/csv?nodeType=DS&amp;warehouseId=DDC4&amp;maxIntradayDays=1&amp;spanType=Intraday&amp;startDateIntraday=2020%2F08%2F04&amp;startHourIntraday=8&amp;startMinuteIntraday=0&amp;endDateIntraday=2020%2F08%2F04&amp;endHourIntraday=9&amp;endMinuteIntraday=0" htmlTables="1" htmlFormat="all"/>
  </connection>
  <connection id="443" name="Connection586" type="4" refreshedVersion="6" background="1" saveData="1">
    <webPr xl2000="1" url="https://fclm-portal.amazon.com/ppa/inspect/node/csv?nodeType=DS&amp;warehouseId=DDC4&amp;maxIntradayDays=1&amp;spanType=Intraday&amp;startDateIntraday=2020%2F08%2F04&amp;startHourIntraday=9&amp;startMinuteIntraday=0&amp;endDateIntraday=2020%2F08%2F04&amp;endHourIntraday=10&amp;endMinuteIntraday=0" htmlTables="1" htmlFormat="all"/>
  </connection>
  <connection id="444" name="Connection587" type="4" refreshedVersion="6" background="1" saveData="1">
    <webPr xl2000="1" url="https://fclm-portal.amazon.com/ppa/inspect/node/csv?nodeType=DS&amp;warehouseId=DDC4&amp;maxIntradayDays=1&amp;spanType=Intraday&amp;startDateIntraday=2020%2F08%2F03&amp;startHourIntraday=8&amp;startMinuteIntraday=0&amp;endDateIntraday=2020%2F08%2F03&amp;endHourIntraday=9&amp;endMinuteIntraday=0" htmlTables="1" htmlFormat="all"/>
  </connection>
  <connection id="445" name="Connection588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446" name="Connection589" type="4" refreshedVersion="6" background="1" saveData="1">
    <webPr xl2000="1" url="https://fclm-portal.amazon.com/ppa/inspect/node/csv?nodeType=DS&amp;warehouseId=DDC4&amp;maxIntradayDays=1&amp;spanType=Intraday&amp;startDateIntraday=2020%2F08%2F02&amp;startHourIntraday=18&amp;startMinuteIntraday=0&amp;endDateIntraday=2020%2F08%2F02&amp;endHourIntraday=19&amp;endMinuteIntraday=0" htmlTables="1" htmlFormat="all"/>
  </connection>
  <connection id="447" name="Connection59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30&amp;endDateIntraday=2020%2F09%2F18&amp;endHourIntraday=9&amp;endMinuteIntraday=0" htmlTables="1" htmlFormat="all"/>
  </connection>
  <connection id="448" name="Connection590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449" name="Connection591" type="4" refreshedVersion="6" background="1" saveData="1">
    <webPr xl2000="1" url="https://fclm-portal.amazon.com/ppa/inspect/node/csv?nodeType=DS&amp;warehouseId=DDC4&amp;maxIntradayDays=1&amp;spanType=Intraday&amp;startDateIntraday=2020%2F08%2F02&amp;startHourIntraday=20&amp;startMinuteIntraday=0&amp;endDateIntraday=2020%2F08%2F02&amp;endHourIntraday=21&amp;endMinuteIntraday=0" htmlTables="1" htmlFormat="all"/>
  </connection>
  <connection id="450" name="Connection592" type="4" refreshedVersion="6" background="1" saveData="1">
    <webPr xl2000="1" url="https://fclm-portal.amazon.com/ppa/inspect/node/csv?nodeType=DS&amp;warehouseId=DDC4&amp;maxIntradayDays=1&amp;spanType=Intraday&amp;startDateIntraday=2020%2F08%2F02&amp;startHourIntraday=21&amp;startMinuteIntraday=0&amp;endDateIntraday=2020%2F08%2F02&amp;endHourIntraday=22&amp;endMinuteIntraday=0" htmlTables="1" htmlFormat="all"/>
  </connection>
  <connection id="451" name="Connection593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452" name="Connection594" type="4" refreshedVersion="6" background="1" saveData="1">
    <webPr xl2000="1" url="https://fclm-portal.amazon.com/ppa/inspect/node/csv?nodeType=DS&amp;warehouseId=DDC4&amp;maxIntradayDays=1&amp;spanType=Intraday&amp;startDateIntraday=2020%2F08%2F01&amp;startHourIntraday=20&amp;startMinuteIntraday=0&amp;endDateIntraday=2020%2F08%2F01&amp;endHourIntraday=21&amp;endMinuteIntraday=0" htmlTables="1" htmlFormat="all"/>
  </connection>
  <connection id="453" name="Connection595" type="4" refreshedVersion="6" background="1" saveData="1">
    <webPr xl2000="1" url="https://fclm-portal.amazon.com/ppa/inspect/node/csv?nodeType=DS&amp;warehouseId=DDC4&amp;maxIntradayDays=1&amp;spanType=Intraday&amp;startDateIntraday=2020%2F08%2F01&amp;startHourIntraday=20&amp;startMinuteIntraday=0&amp;endDateIntraday=2020%2F08%2F01&amp;endHourIntraday=21&amp;endMinuteIntraday=0" htmlTables="1" htmlFormat="all"/>
  </connection>
  <connection id="454" name="Connection596" type="4" refreshedVersion="6" background="1" saveData="1">
    <webPr xl2000="1" url="https://fclm-portal.amazon.com/ppa/inspect/node/csv?nodeType=DS&amp;warehouseId=DDC4&amp;maxIntradayDays=1&amp;spanType=Intraday&amp;startDateIntraday=2020%2F08%2F01&amp;startHourIntraday=21&amp;startMinuteIntraday=0&amp;endDateIntraday=2020%2F08%2F01&amp;endHourIntraday=22&amp;endMinuteIntraday=0" htmlTables="1" htmlFormat="all"/>
  </connection>
  <connection id="455" name="Connection597" type="4" refreshedVersion="6" background="1" saveData="1">
    <webPr xl2000="1" url="https://fclm-portal.amazon.com/ppa/inspect/node/csv?nodeType=DS&amp;warehouseId=DDC4&amp;maxIntradayDays=1&amp;spanType=Intraday&amp;startDateIntraday=2020%2F08%2F01&amp;startHourIntraday=22&amp;startMinuteIntraday=0&amp;endDateIntraday=2020%2F08%2F01&amp;endHourIntraday=23&amp;endMinuteIntraday=0" htmlTables="1" htmlFormat="all"/>
  </connection>
  <connection id="456" name="Connection598" type="4" refreshedVersion="6" background="1" saveData="1">
    <webPr xl2000="1" url="https://fclm-portal.amazon.com/ppa/inspect/node/csv?nodeType=DS&amp;warehouseId=DDC4&amp;maxIntradayDays=1&amp;spanType=Intraday&amp;startDateIntraday=2020%2F08%2F01&amp;startHourIntraday=23&amp;startMinuteIntraday=0&amp;endDateIntraday=2020%2F08%2F02&amp;endHourIntraday=0&amp;endMinuteIntraday=0" htmlTables="1" htmlFormat="all"/>
  </connection>
  <connection id="457" name="Connection599" type="4" refreshedVersion="6" background="1" saveData="1">
    <webPr xl2000="1" url="https://fclm-portal.amazon.com/ppa/inspect/node/csv?nodeType=DS&amp;warehouseId=DDC4&amp;maxIntradayDays=1&amp;spanType=Intraday&amp;startDateIntraday=2020%2F08%2F02&amp;startHourIntraday=0&amp;startMinuteIntraday=0&amp;endDateIntraday=2020%2F08%2F02&amp;endHourIntraday=1&amp;endMinuteIntraday=0" htmlTables="1" htmlFormat="all"/>
  </connection>
  <connection id="458" name="Connection6" type="4" refreshedVersion="6" background="1" saveData="1">
    <webPr xl2000="1" url="https://fclm-portal.amazon.com/ppa/inspect/node/csv?nodeType=DS&amp;warehouseId=DDC4&amp;maxIntradayDays=1&amp;spanType=Intraday&amp;startDateIntraday=2020%2F09%2F20&amp;startHourIntraday=11&amp;startMinuteIntraday=30&amp;endDateIntraday=2020%2F09%2F20&amp;endHourIntraday=14&amp;endMinuteIntraday=0" htmlTables="1" htmlFormat="all"/>
  </connection>
  <connection id="459" name="Connection60" type="4" refreshedVersion="6" background="1" saveData="1">
    <webPr xl2000="1" url="https://fclm-portal.amazon.com/ppa/inspect/node/csv?nodeType=DS&amp;warehouseId=DPD1&amp;maxIntradayDays=1&amp;spanType=Intraday&amp;startDateIntraday=2020%2F04%2F19&amp;startHourIntraday=8&amp;startMinuteIntraday=0&amp;endDateIntraday=2020%2F04%2F19&amp;endHourIntraday=9&amp;endMinuteIntraday=0" htmlTables="1" htmlFormat="all"/>
  </connection>
  <connection id="460" name="Connection600" type="4" refreshedVersion="6" background="1" saveData="1">
    <webPr xl2000="1" url="https://fclm-portal.amazon.com/ppa/inspect/node/csv?nodeType=DS&amp;warehouseId=DDC4&amp;maxIntradayDays=1&amp;spanType=Intraday&amp;startDateIntraday=2020%2F08%2F02&amp;startHourIntraday=1&amp;startMinuteIntraday=0&amp;endDateIntraday=2020%2F08%2F02&amp;endHourIntraday=2&amp;endMinuteIntraday=0" htmlTables="1" htmlFormat="all"/>
  </connection>
  <connection id="461" name="Connection601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462" name="Connection602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463" name="Connection603" type="4" refreshedVersion="6" background="1" saveData="1">
    <webPr xl2000="1" url="https://fclm-portal.amazon.com/ppa/inspect/node/csv?nodeType=DS&amp;warehouseId=DDC4&amp;maxIntradayDays=1&amp;spanType=Intraday&amp;startDateIntraday=2020%2F08%2F02&amp;startHourIntraday=4&amp;startMinuteIntraday=0&amp;endDateIntraday=2020%2F08%2F02&amp;endHourIntraday=5&amp;endMinuteIntraday=0" htmlTables="1" htmlFormat="all"/>
  </connection>
  <connection id="464" name="Connection604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465" name="Connection605" type="4" refreshedVersion="6" background="1" saveData="1">
    <webPr xl2000="1" url="https://fclm-portal.amazon.com/ppa/inspect/node/csv?nodeType=DS&amp;warehouseId=DDC4&amp;maxIntradayDays=1&amp;spanType=Intraday&amp;startDateIntraday=2020%2F08%2F02&amp;startHourIntraday=18&amp;startMinuteIntraday=0&amp;endDateIntraday=2020%2F08%2F02&amp;endHourIntraday=19&amp;endMinuteIntraday=0" htmlTables="1" htmlFormat="all"/>
  </connection>
  <connection id="466" name="Connection606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467" name="Connection607" type="4" refreshedVersion="6" background="1" saveData="1">
    <webPr xl2000="1" url="https://fclm-portal.amazon.com/ppa/inspect/node/csv?nodeType=DS&amp;warehouseId=DDC4&amp;maxIntradayDays=1&amp;spanType=Intraday&amp;startDateIntraday=2020%2F08%2F02&amp;startHourIntraday=20&amp;startMinuteIntraday=0&amp;endDateIntraday=2020%2F08%2F02&amp;endHourIntraday=21&amp;endMinuteIntraday=0" htmlTables="1" htmlFormat="all"/>
  </connection>
  <connection id="468" name="Connection608" type="4" refreshedVersion="6" background="1" saveData="1">
    <webPr xl2000="1" url="https://fclm-portal.amazon.com/ppa/inspect/node/csv?nodeType=DS&amp;warehouseId=DDC4&amp;maxIntradayDays=1&amp;spanType=Intraday&amp;startDateIntraday=2020%2F08%2F02&amp;startHourIntraday=21&amp;startMinuteIntraday=0&amp;endDateIntraday=2020%2F08%2F02&amp;endHourIntraday=22&amp;endMinuteIntraday=0" htmlTables="1" htmlFormat="all"/>
  </connection>
  <connection id="469" name="Connection609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470" name="Connection61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3&amp;endDateIntraday=2020%2F09%2F18&amp;endHourIntraday=9&amp;endMinuteIntraday=0" htmlTables="1" htmlFormat="all"/>
  </connection>
  <connection id="471" name="Connection610" type="4" refreshedVersion="6" background="1" saveData="1">
    <webPr xl2000="1" url="https://fclm-portal.amazon.com/ppa/inspect/node/csv?nodeType=DS&amp;warehouseId=DDC4&amp;maxIntradayDays=1&amp;spanType=Intraday&amp;startDateIntraday=2020%2F08%2F02&amp;startHourIntraday=18&amp;startMinuteIntraday=0&amp;endDateIntraday=2020%2F08%2F02&amp;endHourIntraday=19&amp;endMinuteIntraday=0" htmlTables="1" htmlFormat="all"/>
  </connection>
  <connection id="472" name="Connection611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473" name="Connection612" type="4" refreshedVersion="6" background="1" saveData="1">
    <webPr xl2000="1" url="https://fclm-portal.amazon.com/ppa/inspect/node/csv?nodeType=DS&amp;warehouseId=DDC4&amp;maxIntradayDays=1&amp;spanType=Intraday&amp;startDateIntraday=2020%2F08%2F02&amp;startHourIntraday=20&amp;startMinuteIntraday=0&amp;endDateIntraday=2020%2F08%2F02&amp;endHourIntraday=21&amp;endMinuteIntraday=0" htmlTables="1" htmlFormat="all"/>
  </connection>
  <connection id="474" name="Connection613" type="4" refreshedVersion="6" background="1" saveData="1">
    <webPr xl2000="1" url="https://fclm-portal.amazon.com/ppa/inspect/node/csv?nodeType=DS&amp;warehouseId=DDC4&amp;maxIntradayDays=1&amp;spanType=Intraday&amp;startDateIntraday=2020%2F08%2F02&amp;startHourIntraday=21&amp;startMinuteIntraday=0&amp;endDateIntraday=2020%2F08%2F02&amp;endHourIntraday=22&amp;endMinuteIntraday=0" htmlTables="1" htmlFormat="all"/>
  </connection>
  <connection id="475" name="Connection614" type="4" refreshedVersion="6" background="1" saveData="1">
    <webPr xl2000="1" url="https://fclm-portal.amazon.com/ppa/inspect/node/csv?nodeType=DS&amp;warehouseId=DDC4&amp;maxIntradayDays=1&amp;spanType=Intraday&amp;startDateIntraday=2020%2F08%2F01&amp;startHourIntraday=20&amp;startMinuteIntraday=0&amp;endDateIntraday=2020%2F08%2F01&amp;endHourIntraday=21&amp;endMinuteIntraday=0" htmlTables="1" htmlFormat="all"/>
  </connection>
  <connection id="476" name="Connection615" type="4" refreshedVersion="6" background="1" saveData="1">
    <webPr xl2000="1" url="https://fclm-portal.amazon.com/ppa/inspect/node/csv?nodeType=DS&amp;warehouseId=DDC4&amp;maxIntradayDays=1&amp;spanType=Intraday&amp;startDateIntraday=2020%2F08%2F01&amp;startHourIntraday=21&amp;startMinuteIntraday=0&amp;endDateIntraday=2020%2F08%2F01&amp;endHourIntraday=22&amp;endMinuteIntraday=0" htmlTables="1" htmlFormat="all"/>
  </connection>
  <connection id="477" name="Connection616" type="4" refreshedVersion="6" background="1" saveData="1">
    <webPr xl2000="1" url="https://fclm-portal.amazon.com/ppa/inspect/node/csv?nodeType=DS&amp;warehouseId=DDC4&amp;maxIntradayDays=1&amp;spanType=Intraday&amp;startDateIntraday=2020%2F08%2F01&amp;startHourIntraday=22&amp;startMinuteIntraday=0&amp;endDateIntraday=2020%2F08%2F01&amp;endHourIntraday=23&amp;endMinuteIntraday=0" htmlTables="1" htmlFormat="all"/>
  </connection>
  <connection id="478" name="Connection617" type="4" refreshedVersion="6" background="1" saveData="1">
    <webPr xl2000="1" url="https://fclm-portal.amazon.com/ppa/inspect/node/csv?nodeType=DS&amp;warehouseId=DDC4&amp;maxIntradayDays=1&amp;spanType=Intraday&amp;startDateIntraday=2020%2F08%2F01&amp;startHourIntraday=23&amp;startMinuteIntraday=0&amp;endDateIntraday=2020%2F08%2F02&amp;endHourIntraday=0&amp;endMinuteIntraday=0" htmlTables="1" htmlFormat="all"/>
  </connection>
  <connection id="479" name="Connection618" type="4" refreshedVersion="6" background="1" saveData="1">
    <webPr xl2000="1" url="https://fclm-portal.amazon.com/ppa/inspect/node/csv?nodeType=DS&amp;warehouseId=DDC4&amp;maxIntradayDays=1&amp;spanType=Intraday&amp;startDateIntraday=2020%2F08%2F02&amp;startHourIntraday=0&amp;startMinuteIntraday=0&amp;endDateIntraday=2020%2F08%2F02&amp;endHourIntraday=1&amp;endMinuteIntraday=0" htmlTables="1" htmlFormat="all"/>
  </connection>
  <connection id="480" name="Connection619" type="4" refreshedVersion="6" background="1" saveData="1">
    <webPr xl2000="1" url="https://fclm-portal.amazon.com/ppa/inspect/node/csv?nodeType=DS&amp;warehouseId=DDC4&amp;maxIntradayDays=1&amp;spanType=Intraday&amp;startDateIntraday=2020%2F08%2F02&amp;startHourIntraday=1&amp;startMinuteIntraday=0&amp;endDateIntraday=2020%2F08%2F02&amp;endHourIntraday=2&amp;endMinuteIntraday=0" htmlTables="1" htmlFormat="all"/>
  </connection>
  <connection id="481" name="Connection62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30&amp;endDateIntraday=2020%2F09%2F18&amp;endHourIntraday=9&amp;endMinuteIntraday=0" htmlTables="1" htmlFormat="all"/>
  </connection>
  <connection id="482" name="Connection620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483" name="Connection621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484" name="Connection622" type="4" refreshedVersion="6" background="1" saveData="1">
    <webPr xl2000="1" url="https://fclm-portal.amazon.com/ppa/inspect/node/csv?nodeType=DS&amp;warehouseId=DDC4&amp;maxIntradayDays=1&amp;spanType=Intraday&amp;startDateIntraday=2020%2F08%2F02&amp;startHourIntraday=4&amp;startMinuteIntraday=0&amp;endDateIntraday=2020%2F08%2F02&amp;endHourIntraday=5&amp;endMinuteIntraday=0" htmlTables="1" htmlFormat="all"/>
  </connection>
  <connection id="485" name="Connection623" type="4" refreshedVersion="6" background="1" saveData="1">
    <webPr xl2000="1" url="https://fclm-portal.amazon.com/ppa/inspect/node/csv?nodeType=DS&amp;warehouseId=DDC4&amp;maxIntradayDays=1&amp;spanType=Intraday&amp;startDateIntraday=2020%2F08%2F01&amp;startHourIntraday=20&amp;startMinuteIntraday=0&amp;endDateIntraday=2020%2F08%2F01&amp;endHourIntraday=21&amp;endMinuteIntraday=0" htmlTables="1" htmlFormat="all"/>
  </connection>
  <connection id="486" name="Connection624" type="4" refreshedVersion="6" background="1" saveData="1">
    <webPr xl2000="1" url="https://fclm-portal.amazon.com/ppa/inspect/node/csv?nodeType=DS&amp;warehouseId=DDC4&amp;maxIntradayDays=1&amp;spanType=Intraday&amp;startDateIntraday=2020%2F08%2F01&amp;startHourIntraday=21&amp;startMinuteIntraday=0&amp;endDateIntraday=2020%2F08%2F01&amp;endHourIntraday=22&amp;endMinuteIntraday=0" htmlTables="1" htmlFormat="all"/>
  </connection>
  <connection id="487" name="Connection625" type="4" refreshedVersion="6" background="1" saveData="1">
    <webPr xl2000="1" url="https://fclm-portal.amazon.com/ppa/inspect/node/csv?nodeType=DS&amp;warehouseId=DDC4&amp;maxIntradayDays=1&amp;spanType=Intraday&amp;startDateIntraday=2020%2F08%2F01&amp;startHourIntraday=22&amp;startMinuteIntraday=0&amp;endDateIntraday=2020%2F08%2F01&amp;endHourIntraday=23&amp;endMinuteIntraday=0" htmlTables="1" htmlFormat="all"/>
  </connection>
  <connection id="488" name="Connection626" type="4" refreshedVersion="6" background="1" saveData="1">
    <webPr xl2000="1" url="https://fclm-portal.amazon.com/ppa/inspect/node/csv?nodeType=DS&amp;warehouseId=DDC4&amp;maxIntradayDays=1&amp;spanType=Intraday&amp;startDateIntraday=2020%2F08%2F01&amp;startHourIntraday=23&amp;startMinuteIntraday=0&amp;endDateIntraday=2020%2F08%2F02&amp;endHourIntraday=0&amp;endMinuteIntraday=0" htmlTables="1" htmlFormat="all"/>
  </connection>
  <connection id="489" name="Connection627" type="4" refreshedVersion="6" background="1" saveData="1">
    <webPr xl2000="1" url="https://fclm-portal.amazon.com/ppa/inspect/node/csv?nodeType=DS&amp;warehouseId=DDC4&amp;maxIntradayDays=1&amp;spanType=Intraday&amp;startDateIntraday=2020%2F08%2F02&amp;startHourIntraday=0&amp;startMinuteIntraday=0&amp;endDateIntraday=2020%2F08%2F02&amp;endHourIntraday=1&amp;endMinuteIntraday=0" htmlTables="1" htmlFormat="all"/>
  </connection>
  <connection id="490" name="Connection628" type="4" refreshedVersion="6" background="1" saveData="1">
    <webPr xl2000="1" url="https://fclm-portal.amazon.com/ppa/inspect/node/csv?nodeType=DS&amp;warehouseId=DDC4&amp;maxIntradayDays=1&amp;spanType=Intraday&amp;startDateIntraday=2020%2F08%2F02&amp;startHourIntraday=1&amp;startMinuteIntraday=0&amp;endDateIntraday=2020%2F08%2F02&amp;endHourIntraday=2&amp;endMinuteIntraday=0" htmlTables="1" htmlFormat="all"/>
  </connection>
  <connection id="491" name="Connection629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492" name="Connection63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30&amp;endDateIntraday=2020%2F09%2F18&amp;endHourIntraday=9&amp;endMinuteIntraday=0" htmlTables="1" htmlFormat="all"/>
  </connection>
  <connection id="493" name="Connection630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494" name="Connection631" type="4" refreshedVersion="6" background="1" saveData="1">
    <webPr xl2000="1" url="https://fclm-portal.amazon.com/ppa/inspect/node/csv?nodeType=DS&amp;warehouseId=DDC4&amp;maxIntradayDays=1&amp;spanType=Intraday&amp;startDateIntraday=2020%2F08%2F02&amp;startHourIntraday=4&amp;startMinuteIntraday=0&amp;endDateIntraday=2020%2F08%2F02&amp;endHourIntraday=5&amp;endMinuteIntraday=0" htmlTables="1" htmlFormat="all"/>
  </connection>
  <connection id="495" name="Connection632" type="4" refreshedVersion="6" background="1" saveData="1">
    <webPr xl2000="1" url="https://fclm-portal.amazon.com/ppa/inspect/node/csv?nodeType=DS&amp;warehouseId=DDC4&amp;maxIntradayDays=1&amp;spanType=Intraday&amp;startDateIntraday=2020%2F08%2F04&amp;startHourIntraday=4&amp;startMinuteIntraday=0&amp;endDateIntraday=2020%2F08%2F04&amp;endHourIntraday=5&amp;endMinuteIntraday=0" htmlTables="1" htmlFormat="all"/>
  </connection>
  <connection id="496" name="Connection633" type="4" refreshedVersion="6" background="1" saveData="1">
    <webPr xl2000="1" url="https://fclm-portal.amazon.com/ppa/inspect/node/csv?nodeType=DS&amp;warehouseId=DDC4&amp;maxIntradayDays=1&amp;spanType=Intraday&amp;startDateIntraday=2020%2F08%2F04&amp;startHourIntraday=5&amp;startMinuteIntraday=0&amp;endDateIntraday=2020%2F08%2F04&amp;endHourIntraday=6&amp;endMinuteIntraday=0" htmlTables="1" htmlFormat="all"/>
  </connection>
  <connection id="497" name="Connection634" type="4" refreshedVersion="6" background="1" saveData="1">
    <webPr xl2000="1" url="https://fclm-portal.amazon.com/ppa/inspect/node/csv?nodeType=DS&amp;warehouseId=DDC4&amp;maxIntradayDays=1&amp;spanType=Intraday&amp;startDateIntraday=2020%2F08%2F04&amp;startHourIntraday=6&amp;startMinuteIntraday=0&amp;endDateIntraday=2020%2F08%2F04&amp;endHourIntraday=7&amp;endMinuteIntraday=0" htmlTables="1" htmlFormat="all"/>
  </connection>
  <connection id="498" name="Connection635" type="4" refreshedVersion="6" background="1" saveData="1">
    <webPr xl2000="1" url="https://fclm-portal.amazon.com/ppa/inspect/node/csv?nodeType=DS&amp;warehouseId=DDC4&amp;maxIntradayDays=1&amp;spanType=Intraday&amp;startDateIntraday=2020%2F08%2F04&amp;startHourIntraday=7&amp;startMinuteIntraday=0&amp;endDateIntraday=2020%2F08%2F04&amp;endHourIntraday=8&amp;endMinuteIntraday=0" htmlTables="1" htmlFormat="all"/>
  </connection>
  <connection id="499" name="Connection636" type="4" refreshedVersion="6" background="1" saveData="1">
    <webPr xl2000="1" url="https://fclm-portal.amazon.com/ppa/inspect/node/csv?nodeType=DS&amp;warehouseId=DDC4&amp;maxIntradayDays=1&amp;spanType=Intraday&amp;startDateIntraday=2020%2F08%2F04&amp;startHourIntraday=8&amp;startMinuteIntraday=0&amp;endDateIntraday=2020%2F08%2F04&amp;endHourIntraday=9&amp;endMinuteIntraday=0" htmlTables="1" htmlFormat="all"/>
  </connection>
  <connection id="500" name="Connection637" type="4" refreshedVersion="6" background="1" saveData="1">
    <webPr xl2000="1" url="https://fclm-portal.amazon.com/ppa/inspect/node/csv?nodeType=DS&amp;warehouseId=DDC4&amp;maxIntradayDays=1&amp;spanType=Intraday&amp;startDateIntraday=2020%2F08%2F04&amp;startHourIntraday=9&amp;startMinuteIntraday=0&amp;endDateIntraday=2020%2F08%2F04&amp;endHourIntraday=10&amp;endMinuteIntraday=0" htmlTables="1" htmlFormat="all"/>
  </connection>
  <connection id="501" name="Connection638" type="4" refreshedVersion="6" background="1" saveData="1">
    <webPr xl2000="1" url="https://fclm-portal.amazon.com/ppa/inspect/node/csv?nodeType=DS&amp;warehouseId=DDC4&amp;maxIntradayDays=1&amp;spanType=Intraday&amp;startDateIntraday=2020%2F08%2F03&amp;startHourIntraday=11&amp;startMinuteIntraday=0&amp;endDateIntraday=2020%2F08%2F03&amp;endHourIntraday=12&amp;endMinuteIntraday=0" htmlTables="1" htmlFormat="all"/>
  </connection>
  <connection id="502" name="Connection639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503" name="Connection64" type="4" refreshedVersion="6" background="1" saveData="1">
    <webPr xl2000="1" url="https://fclm-portal.amazon.com/ppa/inspect/node/csv?nodeType=DS&amp;warehouseId=DPD1&amp;maxIntradayDays=1&amp;spanType=Intraday&amp;startDateIntraday=2020%2F04%2F19&amp;startHourIntraday=0&amp;startMinuteIntraday=0&amp;endDateIntraday=2020%2F04%2F19&amp;endHourIntraday=1&amp;endMinuteIntraday=0" htmlTables="1" htmlFormat="all"/>
  </connection>
  <connection id="504" name="Connection640" type="4" refreshedVersion="6" background="1" saveData="1">
    <webPr xl2000="1" url="https://fclm-portal.amazon.com/ppa/inspect/node/csv?nodeType=DS&amp;warehouseId=DDC4&amp;maxIntradayDays=1&amp;spanType=Intraday&amp;startDateIntraday=2020%2F08%2F02&amp;startHourIntraday=23&amp;startMinuteIntraday=0&amp;endDateIntraday=2020%2F08%2F03&amp;endHourIntraday=0&amp;endMinuteIntraday=0" htmlTables="1" htmlFormat="all"/>
  </connection>
  <connection id="505" name="Connection641" type="4" refreshedVersion="6" background="1" saveData="1">
    <webPr xl2000="1" url="https://fclm-portal.amazon.com/ppa/inspect/node/csv?nodeType=DS&amp;warehouseId=DDC4&amp;maxIntradayDays=1&amp;spanType=Intraday&amp;startDateIntraday=2020%2F08%2F02&amp;startHourIntraday=17&amp;startMinuteIntraday=0&amp;endDateIntraday=2020%2F08%2F02&amp;endHourIntraday=18&amp;endMinuteIntraday=0" htmlTables="1" htmlFormat="all"/>
  </connection>
  <connection id="506" name="Connection642" type="4" refreshedVersion="6" background="1" saveData="1">
    <webPr xl2000="1" url="https://fclm-portal.amazon.com/ppa/inspect/node/csv?nodeType=DS&amp;warehouseId=DDC4&amp;maxIntradayDays=1&amp;spanType=Intraday&amp;startDateIntraday=2020%2F08%2F02&amp;startHourIntraday=18&amp;startMinuteIntraday=0&amp;endDateIntraday=2020%2F08%2F02&amp;endHourIntraday=19&amp;endMinuteIntraday=0" htmlTables="1" htmlFormat="all"/>
  </connection>
  <connection id="507" name="Connection643" type="4" refreshedVersion="6" background="1" saveData="1">
    <webPr xl2000="1" url="https://fclm-portal.amazon.com/ppa/inspect/node/csv?nodeType=DS&amp;warehouseId=DDC4&amp;maxIntradayDays=1&amp;spanType=Intraday&amp;startDateIntraday=2020%2F08%2F02&amp;startHourIntraday=19&amp;startMinuteIntraday=0&amp;endDateIntraday=2020%2F08%2F02&amp;endHourIntraday=20&amp;endMinuteIntraday=0" htmlTables="1" htmlFormat="all"/>
  </connection>
  <connection id="508" name="Connection644" type="4" refreshedVersion="6" background="1" saveData="1">
    <webPr xl2000="1" url="https://fclm-portal.amazon.com/ppa/inspect/node/csv?nodeType=DS&amp;warehouseId=DDC4&amp;maxIntradayDays=1&amp;spanType=Intraday&amp;startDateIntraday=2020%2F08%2F02&amp;startHourIntraday=20&amp;startMinuteIntraday=0&amp;endDateIntraday=2020%2F08%2F02&amp;endHourIntraday=21&amp;endMinuteIntraday=0" htmlTables="1" htmlFormat="all"/>
  </connection>
  <connection id="509" name="Connection645" type="4" refreshedVersion="6" background="1" saveData="1">
    <webPr xl2000="1" url="https://fclm-portal.amazon.com/ppa/inspect/node/csv?nodeType=DS&amp;warehouseId=DDC4&amp;maxIntradayDays=1&amp;spanType=Intraday&amp;startDateIntraday=2020%2F08%2F02&amp;startHourIntraday=21&amp;startMinuteIntraday=0&amp;endDateIntraday=2020%2F08%2F02&amp;endHourIntraday=22&amp;endMinuteIntraday=0" htmlTables="1" htmlFormat="all"/>
  </connection>
  <connection id="510" name="Connection646" type="4" refreshedVersion="6" background="1" saveData="1">
    <webPr xl2000="1" url="https://fclm-portal.amazon.com/ppa/inspect/node/csv?nodeType=DS&amp;warehouseId=DDC4&amp;maxIntradayDays=1&amp;spanType=Intraday&amp;startDateIntraday=2020%2F08%2F02&amp;startHourIntraday=22&amp;startMinuteIntraday=0&amp;endDateIntraday=2020%2F08%2F02&amp;endHourIntraday=23&amp;endMinuteIntraday=0" htmlTables="1" htmlFormat="all"/>
  </connection>
  <connection id="511" name="Connection647" type="4" refreshedVersion="6" background="1" saveData="1">
    <webPr xl2000="1" url="https://fclm-portal.amazon.com/ppa/inspect/node/csv?nodeType=DS&amp;warehouseId=DDC4&amp;maxIntradayDays=1&amp;spanType=Intraday&amp;startDateIntraday=2020%2F08%2F02&amp;startHourIntraday=23&amp;startMinuteIntraday=0&amp;endDateIntraday=2020%2F08%2F03&amp;endHourIntraday=0&amp;endMinuteIntraday=0" htmlTables="1" htmlFormat="all"/>
  </connection>
  <connection id="512" name="Connection648" type="4" refreshedVersion="6" background="1" saveData="1">
    <webPr xl2000="1" url="https://fclm-portal.amazon.com/ppa/inspect/node/csv?nodeType=DS&amp;warehouseId=DDC4&amp;maxIntradayDays=1&amp;spanType=Intraday&amp;startDateIntraday=2020%2F08%2F02&amp;startHourIntraday=0&amp;startMinuteIntraday=0&amp;endDateIntraday=2020%2F08%2F02&amp;endHourIntraday=1&amp;endMinuteIntraday=0" htmlTables="1" htmlFormat="all"/>
  </connection>
  <connection id="513" name="Connection649" type="4" refreshedVersion="6" background="1" saveData="1">
    <webPr xl2000="1" url="https://fclm-portal.amazon.com/ppa/inspect/node/csv?nodeType=DS&amp;warehouseId=DDC4&amp;maxIntradayDays=1&amp;spanType=Intraday&amp;startDateIntraday=2020%2F08%2F02&amp;startHourIntraday=1&amp;startMinuteIntraday=0&amp;endDateIntraday=2020%2F08%2F02&amp;endHourIntraday=2&amp;endMinuteIntraday=0" htmlTables="1" htmlFormat="all"/>
  </connection>
  <connection id="514" name="Connection65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45&amp;endDateIntraday=2020%2F09%2F18&amp;endHourIntraday=9&amp;endMinuteIntraday=0" htmlTables="1" htmlFormat="all"/>
  </connection>
  <connection id="515" name="Connection650" type="4" refreshedVersion="6" background="1" saveData="1">
    <webPr xl2000="1" url="https://fclm-portal.amazon.com/ppa/inspect/node/csv?nodeType=DS&amp;warehouseId=DDC4&amp;maxIntradayDays=1&amp;spanType=Intraday&amp;startDateIntraday=2020%2F08%2F02&amp;startHourIntraday=2&amp;startMinuteIntraday=0&amp;endDateIntraday=2020%2F08%2F02&amp;endHourIntraday=3&amp;endMinuteIntraday=0" htmlTables="1" htmlFormat="all"/>
  </connection>
  <connection id="516" name="Connection651" type="4" refreshedVersion="6" background="1" saveData="1">
    <webPr xl2000="1" url="https://fclm-portal.amazon.com/ppa/inspect/node/csv?nodeType=DS&amp;warehouseId=DDC4&amp;maxIntradayDays=1&amp;spanType=Intraday&amp;startDateIntraday=2020%2F08%2F02&amp;startHourIntraday=3&amp;startMinuteIntraday=0&amp;endDateIntraday=2020%2F08%2F02&amp;endHourIntraday=4&amp;endMinuteIntraday=0" htmlTables="1" htmlFormat="all"/>
  </connection>
  <connection id="517" name="Connection652" type="4" refreshedVersion="6" background="1" saveData="1">
    <webPr xl2000="1" url="https://fclm-portal.amazon.com/ppa/inspect/node/csv?nodeType=DS&amp;warehouseId=DDC4&amp;maxIntradayDays=1&amp;spanType=Intraday&amp;startDateIntraday=2020%2F08%2F02&amp;startHourIntraday=4&amp;startMinuteIntraday=0&amp;endDateIntraday=2020%2F08%2F02&amp;endHourIntraday=5&amp;endMinuteIntraday=0" htmlTables="1" htmlFormat="all"/>
  </connection>
  <connection id="518" name="Connection653" type="4" refreshedVersion="6" background="1" saveData="1">
    <webPr xl2000="1" url="https://fclm-portal.amazon.com/ppa/inspect/node/csv?nodeType=DS&amp;warehouseId=DDC4&amp;maxIntradayDays=1&amp;spanType=Intraday&amp;startDateIntraday=2020%2F08%2F02&amp;startHourIntraday=5&amp;startMinuteIntraday=0&amp;endDateIntraday=2020%2F08%2F02&amp;endHourIntraday=6&amp;endMinuteIntraday=0" htmlTables="1" htmlFormat="all"/>
  </connection>
  <connection id="519" name="Connection654" type="4" refreshedVersion="6" background="1" saveData="1">
    <webPr xl2000="1" url="https://fclm-portal.amazon.com/ppa/inspect/node/csv?nodeType=DS&amp;warehouseId=DDC4&amp;maxIntradayDays=1&amp;spanType=Intraday&amp;startDateIntraday=2020%2F08%2F02&amp;startHourIntraday=6&amp;startMinuteIntraday=0&amp;endDateIntraday=2020%2F08%2F02&amp;endHourIntraday=7&amp;endMinuteIntraday=0" htmlTables="1" htmlFormat="all"/>
  </connection>
  <connection id="520" name="Connection655" type="4" refreshedVersion="6" background="1" saveData="1">
    <webPr xl2000="1" url="https://fclm-portal.amazon.com/ppa/inspect/node/csv?nodeType=DS&amp;warehouseId=DDC4&amp;maxIntradayDays=1&amp;spanType=Intraday&amp;startDateIntraday=2020%2F08%2F02&amp;startHourIntraday=7&amp;startMinuteIntraday=0&amp;endDateIntraday=2020%2F08%2F02&amp;endHourIntraday=8&amp;endMinuteIntraday=0" htmlTables="1" htmlFormat="all"/>
  </connection>
  <connection id="521" name="Connection656" type="4" refreshedVersion="6" background="1" saveData="1">
    <webPr xl2000="1" url="https://fclm-portal.amazon.com/ppa/inspect/node/csv?nodeType=DS&amp;warehouseId=DDC4&amp;maxIntradayDays=1&amp;spanType=Intraday&amp;startDateIntraday=2020%2F08%2F02&amp;startHourIntraday=8&amp;startMinuteIntraday=0&amp;endDateIntraday=2020%2F08%2F02&amp;endHourIntraday=9&amp;endMinuteIntraday=0" htmlTables="1" htmlFormat="all"/>
  </connection>
  <connection id="522" name="Connection657" type="4" refreshedVersion="6" background="1" saveData="1">
    <webPr xl2000="1" url="https://fclm-portal.amazon.com/ppa/inspect/node/csv?nodeType=DS&amp;warehouseId=DDC4&amp;maxIntradayDays=1&amp;spanType=Intraday&amp;startDateIntraday=2020%2F08%2F02&amp;startHourIntraday=9&amp;startMinuteIntraday=0&amp;endDateIntraday=2020%2F08%2F02&amp;endHourIntraday=10&amp;endMinuteIntraday=0" htmlTables="1" htmlFormat="all"/>
  </connection>
  <connection id="523" name="Connection658" type="4" refreshedVersion="6" background="1" saveData="1">
    <webPr xl2000="1" url="https://fclm-portal.amazon.com/ppa/inspect/node/csv?nodeType=DS&amp;warehouseId=DDC4&amp;maxIntradayDays=1&amp;spanType=Intraday&amp;startDateIntraday=2020%2F08%2F02&amp;startHourIntraday=10&amp;startMinuteIntraday=0&amp;endDateIntraday=2020%2F08%2F02&amp;endHourIntraday=11&amp;endMinuteIntraday=0" htmlTables="1" htmlFormat="all"/>
  </connection>
  <connection id="524" name="Connection659" type="4" refreshedVersion="6" background="1" saveData="1">
    <webPr xl2000="1" url="https://fclm-portal.amazon.com/ppa/inspect/node/csv?nodeType=DS&amp;warehouseId=DDC4&amp;maxIntradayDays=1&amp;spanType=Intraday&amp;startDateIntraday=2020%2F08%2F02&amp;startHourIntraday=11&amp;startMinuteIntraday=0&amp;endDateIntraday=2020%2F08%2F02&amp;endHourIntraday=12&amp;endMinuteIntraday=0" htmlTables="1" htmlFormat="all"/>
  </connection>
  <connection id="525" name="Connection66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0&amp;endDateIntraday=2020%2F09%2F18&amp;endHourIntraday=9&amp;endMinuteIntraday=0" htmlTables="1" htmlFormat="all"/>
  </connection>
  <connection id="526" name="Connection660" type="4" refreshedVersion="6" background="1" saveData="1">
    <webPr xl2000="1" url="https://fclm-portal.amazon.com/ppa/inspect/node/csv?nodeType=DS&amp;warehouseId=DDC4&amp;maxIntradayDays=1&amp;spanType=Intraday&amp;startDateIntraday=2020%2F08%2F02&amp;startHourIntraday=12&amp;startMinuteIntraday=0&amp;endDateIntraday=2020%2F08%2F02&amp;endHourIntraday=13&amp;endMinuteIntraday=0" htmlTables="1" htmlFormat="all"/>
  </connection>
  <connection id="527" name="Connection661" type="4" refreshedVersion="6" background="1" saveData="1">
    <webPr xl2000="1" url="https://fclm-portal.amazon.com/ppa/inspect/node/csv?nodeType=DS&amp;warehouseId=DDC4&amp;maxIntradayDays=1&amp;spanType=Intraday&amp;startDateIntraday=2020%2F08%2F02&amp;startHourIntraday=13&amp;startMinuteIntraday=0&amp;endDateIntraday=2020%2F08%2F02&amp;endHourIntraday=14&amp;endMinuteIntraday=0" htmlTables="1" htmlFormat="all"/>
  </connection>
  <connection id="528" name="Connection662" type="4" refreshedVersion="6" background="1" saveData="1">
    <webPr xl2000="1" url="https://fclm-portal.amazon.com/ppa/inspect/node/csv?nodeType=DS&amp;warehouseId=DDC4&amp;maxIntradayDays=1&amp;spanType=Intraday&amp;startDateIntraday=2020%2F08%2F02&amp;startHourIntraday=14&amp;startMinuteIntraday=0&amp;endDateIntraday=2020%2F08%2F02&amp;endHourIntraday=15&amp;endMinuteIntraday=0" htmlTables="1" htmlFormat="all"/>
  </connection>
  <connection id="529" name="Connection663" type="4" refreshedVersion="6" background="1" saveData="1">
    <webPr xl2000="1" url="https://fclm-portal.amazon.com/ppa/inspect/node/csv?nodeType=DS&amp;warehouseId=DDC4&amp;maxIntradayDays=1&amp;spanType=Intraday&amp;startDateIntraday=2020%2F08%2F02&amp;startHourIntraday=15&amp;startMinuteIntraday=0&amp;endDateIntraday=2020%2F08%2F02&amp;endHourIntraday=16&amp;endMinuteIntraday=0" htmlTables="1" htmlFormat="all"/>
  </connection>
  <connection id="530" name="Connection664" type="4" refreshedVersion="6" background="1" saveData="1">
    <webPr xl2000="1" url="https://fclm-portal.amazon.com/ppa/inspect/node/csv?nodeType=DS&amp;warehouseId=DDC4&amp;maxIntradayDays=1&amp;spanType=Intraday&amp;startDateIntraday=2020%2F08%2F02&amp;startHourIntraday=16&amp;startMinuteIntraday=0&amp;endDateIntraday=2020%2F08%2F02&amp;endHourIntraday=17&amp;endMinuteIntraday=0" htmlTables="1" htmlFormat="all"/>
  </connection>
  <connection id="531" name="Connection665" type="4" refreshedVersion="6" background="1" saveData="1">
    <webPr xl2000="1" url="https://fclm-portal.amazon.com/ppa/inspect/node/csv?nodeType=DS&amp;warehouseId=DDC4&amp;maxIntradayDays=1&amp;spanType=Intraday&amp;startDateIntraday=2020%2F08%2F02&amp;startHourIntraday=23&amp;startMinuteIntraday=0&amp;endDateIntraday=2020%2F08%2F03&amp;endHourIntraday=0&amp;endMinuteIntraday=0" htmlTables="1" htmlFormat="all"/>
  </connection>
  <connection id="532" name="Connection666" type="4" refreshedVersion="6" background="1" saveData="1">
    <webPr xl2000="1" url="https://fclm-portal.amazon.com/ppa/inspect/node/csv?nodeType=DS&amp;warehouseId=DDC4&amp;maxIntradayDays=1&amp;spanType=Intraday&amp;startDateIntraday=2020%2F08%2F03&amp;startHourIntraday=7&amp;startMinuteIntraday=0&amp;endDateIntraday=2020%2F08%2F03&amp;endHourIntraday=8&amp;endMinuteIntraday=0" htmlTables="1" htmlFormat="all"/>
  </connection>
  <connection id="533" name="Connection667" type="4" refreshedVersion="6" background="1" saveData="1">
    <webPr xl2000="1" url="https://fclm-portal.amazon.com/ppa/inspect/node/csv?nodeType=DS&amp;warehouseId=DDC4&amp;maxIntradayDays=1&amp;spanType=Intraday&amp;startDateIntraday=2020%2F08%2F03&amp;startHourIntraday=8&amp;startMinuteIntraday=0&amp;endDateIntraday=2020%2F08%2F03&amp;endHourIntraday=9&amp;endMinuteIntraday=0" htmlTables="1" htmlFormat="all"/>
  </connection>
  <connection id="534" name="Connection668" type="4" refreshedVersion="6" background="1" saveData="1">
    <webPr xl2000="1" url="https://fclm-portal.amazon.com/ppa/inspect/node/csv?nodeType=DS&amp;warehouseId=DDC4&amp;maxIntradayDays=1&amp;spanType=Intraday&amp;startDateIntraday=2020%2F08%2F03&amp;startHourIntraday=9&amp;startMinuteIntraday=0&amp;endDateIntraday=2020%2F08%2F03&amp;endHourIntraday=10&amp;endMinuteIntraday=0" htmlTables="1" htmlFormat="all"/>
  </connection>
  <connection id="535" name="Connection669" type="4" refreshedVersion="6" background="1" saveData="1">
    <webPr xl2000="1" url="https://fclm-portal.amazon.com/ppa/inspect/node/csv?nodeType=DS&amp;warehouseId=DDC4&amp;maxIntradayDays=1&amp;spanType=Intraday&amp;startDateIntraday=2020%2F08%2F03&amp;startHourIntraday=6&amp;startMinuteIntraday=0&amp;endDateIntraday=2020%2F08%2F03&amp;endHourIntraday=7&amp;endMinuteIntraday=0" htmlTables="1" htmlFormat="all"/>
  </connection>
  <connection id="536" name="Connection67" type="4" refreshedVersion="6" background="1" saveData="1">
    <webPr xl2000="1" url="https://fclm-portal.amazon.com/ppa/inspect/node/csv?nodeType=DS&amp;warehouseId=DPD1&amp;maxIntradayDays=1&amp;spanType=Intraday&amp;startDateIntraday=2020%2F04%2F18&amp;startHourIntraday=22&amp;startMinuteIntraday=0&amp;endDateIntraday=2020%2F04%2F18&amp;endHourIntraday=23&amp;endMinuteIntraday=0" htmlTables="1" htmlFormat="all"/>
  </connection>
  <connection id="537" name="Connection670" type="4" refreshedVersion="6" background="1" saveData="1">
    <webPr xl2000="1" url="https://fclm-portal.amazon.com/ppa/inspect/node/csv?nodeType=DS&amp;warehouseId=DDC4&amp;maxIntradayDays=1&amp;spanType=Intraday&amp;startDateIntraday=2020%2F08%2F03&amp;startHourIntraday=10&amp;startMinuteIntraday=0&amp;endDateIntraday=2020%2F08%2F03&amp;endHourIntraday=11&amp;endMinuteIntraday=0" htmlTables="1" htmlFormat="all"/>
  </connection>
  <connection id="538" name="Connection671" type="4" refreshedVersion="6" background="1" saveData="1">
    <webPr xl2000="1" url="https://fclm-portal.amazon.com/ppa/inspect/node/csv?nodeType=DS&amp;warehouseId=DDC4&amp;maxIntradayDays=1&amp;spanType=Intraday&amp;startDateIntraday=2020%2F08%2F03&amp;startHourIntraday=11&amp;startMinuteIntraday=0&amp;endDateIntraday=2020%2F08%2F03&amp;endHourIntraday=12&amp;endMinuteIntraday=0" htmlTables="1" htmlFormat="all"/>
  </connection>
  <connection id="539" name="Connection672" type="4" refreshedVersion="6" background="1" saveData="1">
    <webPr xl2000="1" url="https://fclm-portal.amazon.com/ppa/inspect/node/csv?nodeType=DS&amp;warehouseId=DDC4&amp;maxIntradayDays=1&amp;spanType=Intraday&amp;startDateIntraday=2020%2F08%2F03&amp;startHourIntraday=12&amp;startMinuteIntraday=0&amp;endDateIntraday=2020%2F08%2F03&amp;endHourIntraday=13&amp;endMinuteIntraday=0" htmlTables="1" htmlFormat="all"/>
  </connection>
  <connection id="540" name="Connection673" type="4" refreshedVersion="6" background="1" saveData="1">
    <webPr xl2000="1" url="https://fclm-portal.amazon.com/ppa/inspect/node/csv?nodeType=DS&amp;warehouseId=DDC4&amp;maxIntradayDays=1&amp;spanType=Intraday&amp;startDateIntraday=2020%2F08%2F03&amp;startHourIntraday=11&amp;startMinuteIntraday=0&amp;endDateIntraday=2020%2F08%2F03&amp;endHourIntraday=12&amp;endMinuteIntraday=0" htmlTables="1" htmlFormat="all"/>
  </connection>
  <connection id="541" name="Connection674" type="4" refreshedVersion="6" background="1" saveData="1">
    <webPr xl2000="1" url="https://fclm-portal.amazon.com/ppa/inspect/node/csv?nodeType=DS&amp;warehouseId=DDC4&amp;maxIntradayDays=1&amp;spanType=Intraday&amp;startDateIntraday=2020%2F08%2F13&amp;startHourIntraday=7&amp;startMinuteIntraday=0&amp;endDateIntraday=2020%2F08%2F13&amp;endHourIntraday=8&amp;endMinuteIntraday=0" htmlTables="1" htmlFormat="all"/>
  </connection>
  <connection id="542" name="Connection675" type="4" refreshedVersion="6" background="1" saveData="1">
    <webPr xl2000="1" url="https://fclm-portal.amazon.com/ppa/inspect/node/csv?nodeType=DS&amp;warehouseId=DDC4&amp;maxIntradayDays=1&amp;spanType=Intraday&amp;startDateIntraday=2020%2F08%2F13&amp;startHourIntraday=9&amp;startMinuteIntraday=0&amp;endDateIntraday=2020%2F08%2F13&amp;endHourIntraday=10&amp;endMinuteIntraday=0" htmlTables="1" htmlFormat="all"/>
  </connection>
  <connection id="543" name="Connection676" type="4" refreshedVersion="6" background="1" saveData="1">
    <webPr xl2000="1" url="https://fclm-portal.amazon.com/ppa/inspect/node/csv?nodeType=DS&amp;warehouseId=DDC4&amp;maxIntradayDays=1&amp;spanType=Intraday&amp;startDateIntraday=2020%2F08%2F13&amp;startHourIntraday=8&amp;startMinuteIntraday=0&amp;endDateIntraday=2020%2F08%2F13&amp;endHourIntraday=9&amp;endMinuteIntraday=0" htmlTables="1" htmlFormat="all"/>
  </connection>
  <connection id="544" name="Connection677" type="4" refreshedVersion="6" background="1" saveData="1">
    <webPr xl2000="1" url="https://fclm-portal.amazon.com/ppa/inspect/node/csv?nodeType=DS&amp;warehouseId=DDC4&amp;maxIntradayDays=1&amp;spanType=Intraday&amp;startDateIntraday=2020%2F08%2F12&amp;startHourIntraday=20&amp;startMinuteIntraday=0&amp;endDateIntraday=2020%2F08%2F12&amp;endHourIntraday=21&amp;endMinuteIntraday=0" htmlTables="1" htmlFormat="all"/>
  </connection>
  <connection id="545" name="Connection678" type="4" refreshedVersion="6" background="1" saveData="1">
    <webPr xl2000="1" url="https://fclm-portal.amazon.com/ppa/inspect/node/csv?nodeType=DS&amp;warehouseId=DDC4&amp;maxIntradayDays=1&amp;spanType=Intraday&amp;startDateIntraday=2020%2F08%2F12&amp;startHourIntraday=21&amp;startMinuteIntraday=0&amp;endDateIntraday=2020%2F08%2F12&amp;endHourIntraday=22&amp;endMinuteIntraday=0" htmlTables="1" htmlFormat="all"/>
  </connection>
  <connection id="546" name="Connection679" type="4" refreshedVersion="6" background="1" saveData="1">
    <webPr xl2000="1" url="https://fclm-portal.amazon.com/ppa/inspect/node/csv?nodeType=DS&amp;warehouseId=DDC4&amp;maxIntradayDays=1&amp;spanType=Intraday&amp;startDateIntraday=2020%2F08%2F12&amp;startHourIntraday=22&amp;startMinuteIntraday=0&amp;endDateIntraday=2020%2F08%2F12&amp;endHourIntraday=23&amp;endMinuteIntraday=0" htmlTables="1" htmlFormat="all"/>
  </connection>
  <connection id="547" name="Connection68" type="4" refreshedVersion="6" background="1" saveData="1">
    <webPr xl2000="1" url="https://fclm-portal.amazon.com/ppa/inspect/node/csv?nodeType=DS&amp;warehouseId=DDC4&amp;maxIntradayDays=1&amp;spanType=Intraday&amp;startDateIntraday=2020%2F09%2F18&amp;startHourIntraday=6&amp;startMinuteIntraday=0&amp;endDateIntraday=2020%2F09%2F18&amp;endHourIntraday=9&amp;endMinuteIntraday=0" htmlTables="1" htmlFormat="all"/>
  </connection>
  <connection id="548" name="Connection680" type="4" refreshedVersion="6" background="1" saveData="1">
    <webPr xl2000="1" url="https://fclm-portal.amazon.com/ppa/inspect/node/csv?nodeType=DS&amp;warehouseId=DDC4&amp;maxIntradayDays=1&amp;spanType=Intraday&amp;startDateIntraday=2020%2F08%2F12&amp;startHourIntraday=23&amp;startMinuteIntraday=0&amp;endDateIntraday=2020%2F08%2F13&amp;endHourIntraday=0&amp;endMinuteIntraday=0" htmlTables="1" htmlFormat="all"/>
  </connection>
  <connection id="549" name="Connection681" type="4" refreshedVersion="6" background="1" saveData="1">
    <webPr xl2000="1" url="https://fclm-portal.amazon.com/ppa/inspect/node/csv?nodeType=DS&amp;warehouseId=DDC4&amp;maxIntradayDays=1&amp;spanType=Intraday&amp;startDateIntraday=2020%2F08%2F13&amp;startHourIntraday=0&amp;startMinuteIntraday=0&amp;endDateIntraday=2020%2F08%2F13&amp;endHourIntraday=1&amp;endMinuteIntraday=0" htmlTables="1" htmlFormat="all"/>
  </connection>
  <connection id="550" name="Connection682" type="4" refreshedVersion="6" background="1" saveData="1">
    <webPr xl2000="1" url="https://fclm-portal.amazon.com/ppa/inspect/node/csv?nodeType=DS&amp;warehouseId=DDC4&amp;maxIntradayDays=1&amp;spanType=Intraday&amp;startDateIntraday=2020%2F08%2F13&amp;startHourIntraday=1&amp;startMinuteIntraday=0&amp;endDateIntraday=2020%2F08%2F13&amp;endHourIntraday=2&amp;endMinuteIntraday=0" htmlTables="1" htmlFormat="all"/>
  </connection>
  <connection id="551" name="Connection683" type="4" refreshedVersion="6" background="1" saveData="1">
    <webPr xl2000="1" url="https://fclm-portal.amazon.com/ppa/inspect/node/csv?nodeType=DS&amp;warehouseId=DDC4&amp;maxIntradayDays=1&amp;spanType=Intraday&amp;startDateIntraday=2020%2F08%2F13&amp;startHourIntraday=2&amp;startMinuteIntraday=0&amp;endDateIntraday=2020%2F08%2F13&amp;endHourIntraday=3&amp;endMinuteIntraday=0" htmlTables="1" htmlFormat="all"/>
  </connection>
  <connection id="552" name="Connection684" type="4" refreshedVersion="6" background="1" saveData="1">
    <webPr xl2000="1" url="https://fclm-portal.amazon.com/ppa/inspect/node/csv?nodeType=DS&amp;warehouseId=DDC4&amp;maxIntradayDays=1&amp;spanType=Intraday&amp;startDateIntraday=2020%2F08%2F13&amp;startHourIntraday=3&amp;startMinuteIntraday=0&amp;endDateIntraday=2020%2F08%2F13&amp;endHourIntraday=4&amp;endMinuteIntraday=0" htmlTables="1" htmlFormat="all"/>
  </connection>
  <connection id="553" name="Connection685" type="4" refreshedVersion="6" background="1" saveData="1">
    <webPr xl2000="1" url="https://fclm-portal.amazon.com/ppa/inspect/node/csv?nodeType=DS&amp;warehouseId=DDC4&amp;maxIntradayDays=1&amp;spanType=Intraday&amp;startDateIntraday=2020%2F08%2F13&amp;startHourIntraday=4&amp;startMinuteIntraday=0&amp;endDateIntraday=2020%2F08%2F13&amp;endHourIntraday=5&amp;endMinuteIntraday=0" htmlTables="1" htmlFormat="all"/>
  </connection>
  <connection id="554" name="Connection686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555" name="Connection687" type="4" refreshedVersion="6" background="1" saveData="1">
    <webPr xl2000="1" url="https://fclm-portal.amazon.com/ppa/inspect/node/csv?nodeType=DS&amp;warehouseId=DDC4&amp;maxIntradayDays=1&amp;spanType=Intraday&amp;startDateIntraday=2020%2F08%2F13&amp;startHourIntraday=21&amp;startMinuteIntraday=0&amp;endDateIntraday=2020%2F08%2F13&amp;endHourIntraday=22&amp;endMinuteIntraday=0" htmlTables="1" htmlFormat="all"/>
  </connection>
  <connection id="556" name="Connection688" type="4" refreshedVersion="6" background="1" saveData="1">
    <webPr xl2000="1" url="https://fclm-portal.amazon.com/ppa/inspect/node/csv?nodeType=DS&amp;warehouseId=DDC4&amp;maxIntradayDays=1&amp;spanType=Intraday&amp;startDateIntraday=2020%2F08%2F13&amp;startHourIntraday=22&amp;startMinuteIntraday=0&amp;endDateIntraday=2020%2F08%2F13&amp;endHourIntraday=23&amp;endMinuteIntraday=0" htmlTables="1" htmlFormat="all"/>
  </connection>
  <connection id="557" name="Connection689" type="4" refreshedVersion="6" background="1" saveData="1">
    <webPr xl2000="1" url="https://fclm-portal.amazon.com/ppa/inspect/node/csv?nodeType=DS&amp;warehouseId=DDC4&amp;maxIntradayDays=1&amp;spanType=Intraday&amp;startDateIntraday=2020%2F08%2F12&amp;startHourIntraday=17&amp;startMinuteIntraday=0&amp;endDateIntraday=2020%2F08%2F12&amp;endHourIntraday=18&amp;endMinuteIntraday=0" htmlTables="1" htmlFormat="all"/>
  </connection>
  <connection id="558" name="Connection69" type="4" refreshedVersion="6" background="1" saveData="1">
    <webPr xl2000="1" url="https://fclm-portal.amazon.com/ppa/inspect/node/csv?nodeType=DS&amp;warehouseId=DPD1&amp;maxIntradayDays=1&amp;spanType=Intraday&amp;startDateIntraday=2020%2F04%2F18&amp;startHourIntraday=21&amp;startMinuteIntraday=0&amp;endDateIntraday=2020%2F04%2F18&amp;endHourIntraday=22&amp;endMinuteIntraday=0" htmlTables="1" htmlFormat="all"/>
  </connection>
  <connection id="559" name="Connection690" type="4" refreshedVersion="6" background="1" saveData="1">
    <webPr xl2000="1" url="https://fclm-portal.amazon.com/ppa/inspect/node/csv?nodeType=DS&amp;warehouseId=DDC4&amp;maxIntradayDays=1&amp;spanType=Intraday&amp;startDateIntraday=2020%2F08%2F12&amp;startHourIntraday=18&amp;startMinuteIntraday=0&amp;endDateIntraday=2020%2F08%2F12&amp;endHourIntraday=19&amp;endMinuteIntraday=0" htmlTables="1" htmlFormat="all"/>
  </connection>
  <connection id="560" name="Connection691" type="4" refreshedVersion="6" background="1" saveData="1">
    <webPr xl2000="1" url="https://fclm-portal.amazon.com/ppa/inspect/node/csv?nodeType=DS&amp;warehouseId=DDC4&amp;maxIntradayDays=1&amp;spanType=Intraday&amp;startDateIntraday=2020%2F08%2F12&amp;startHourIntraday=19&amp;startMinuteIntraday=0&amp;endDateIntraday=2020%2F08%2F12&amp;endHourIntraday=20&amp;endMinuteIntraday=0" htmlTables="1" htmlFormat="all"/>
  </connection>
  <connection id="561" name="Connection692" type="4" refreshedVersion="6" background="1" saveData="1">
    <webPr xl2000="1" url="https://fclm-portal.amazon.com/ppa/inspect/node/csv?nodeType=DS&amp;warehouseId=DDC4&amp;maxIntradayDays=1&amp;spanType=Intraday&amp;startDateIntraday=2020%2F08%2F12&amp;startHourIntraday=20&amp;startMinuteIntraday=0&amp;endDateIntraday=2020%2F08%2F12&amp;endHourIntraday=21&amp;endMinuteIntraday=0" htmlTables="1" htmlFormat="all"/>
  </connection>
  <connection id="562" name="Connection693" type="4" refreshedVersion="6" background="1" saveData="1">
    <webPr xl2000="1" url="https://fclm-portal.amazon.com/ppa/inspect/node/csv?nodeType=DS&amp;warehouseId=DDC4&amp;maxIntradayDays=1&amp;spanType=Intraday&amp;startDateIntraday=2020%2F08%2F12&amp;startHourIntraday=21&amp;startMinuteIntraday=0&amp;endDateIntraday=2020%2F08%2F12&amp;endHourIntraday=22&amp;endMinuteIntraday=0" htmlTables="1" htmlFormat="all"/>
  </connection>
  <connection id="563" name="Connection694" type="4" refreshedVersion="6" background="1" saveData="1">
    <webPr xl2000="1" url="https://fclm-portal.amazon.com/ppa/inspect/node/csv?nodeType=DS&amp;warehouseId=DDC4&amp;maxIntradayDays=1&amp;spanType=Intraday&amp;startDateIntraday=2020%2F08%2F12&amp;startHourIntraday=22&amp;startMinuteIntraday=0&amp;endDateIntraday=2020%2F08%2F12&amp;endHourIntraday=23&amp;endMinuteIntraday=0" htmlTables="1" htmlFormat="all"/>
  </connection>
  <connection id="564" name="Connection695" type="4" refreshedVersion="6" background="1" saveData="1">
    <webPr xl2000="1" url="https://fclm-portal.amazon.com/ppa/inspect/node/csv?nodeType=DS&amp;warehouseId=DDC4&amp;maxIntradayDays=1&amp;spanType=Intraday&amp;startDateIntraday=2020%2F08%2F12&amp;startHourIntraday=23&amp;startMinuteIntraday=0&amp;endDateIntraday=2020%2F08%2F13&amp;endHourIntraday=0&amp;endMinuteIntraday=0" htmlTables="1" htmlFormat="all"/>
  </connection>
  <connection id="565" name="Connection696" type="4" refreshedVersion="6" background="1" saveData="1">
    <webPr xl2000="1" url="https://fclm-portal.amazon.com/ppa/inspect/node/csv?nodeType=DS&amp;warehouseId=DDC4&amp;maxIntradayDays=1&amp;spanType=Intraday&amp;startDateIntraday=2020%2F08%2F13&amp;startHourIntraday=0&amp;startMinuteIntraday=0&amp;endDateIntraday=2020%2F08%2F13&amp;endHourIntraday=1&amp;endMinuteIntraday=0" htmlTables="1" htmlFormat="all"/>
  </connection>
  <connection id="566" name="Connection697" type="4" refreshedVersion="6" background="1" saveData="1">
    <webPr xl2000="1" url="https://fclm-portal.amazon.com/ppa/inspect/node/csv?nodeType=DS&amp;warehouseId=DDC4&amp;maxIntradayDays=1&amp;spanType=Intraday&amp;startDateIntraday=2020%2F08%2F13&amp;startHourIntraday=1&amp;startMinuteIntraday=0&amp;endDateIntraday=2020%2F08%2F13&amp;endHourIntraday=2&amp;endMinuteIntraday=0" htmlTables="1" htmlFormat="all"/>
  </connection>
  <connection id="567" name="Connection698" type="4" refreshedVersion="6" background="1" saveData="1">
    <webPr xl2000="1" url="https://fclm-portal.amazon.com/ppa/inspect/node/csv?nodeType=DS&amp;warehouseId=DDC4&amp;maxIntradayDays=1&amp;spanType=Intraday&amp;startDateIntraday=2020%2F08%2F13&amp;startHourIntraday=2&amp;startMinuteIntraday=0&amp;endDateIntraday=2020%2F08%2F13&amp;endHourIntraday=3&amp;endMinuteIntraday=0" htmlTables="1" htmlFormat="all"/>
  </connection>
  <connection id="568" name="Connection699" type="4" refreshedVersion="6" background="1" saveData="1">
    <webPr xl2000="1" url="https://fclm-portal.amazon.com/ppa/inspect/node/csv?nodeType=DS&amp;warehouseId=DDC4&amp;maxIntradayDays=1&amp;spanType=Intraday&amp;startDateIntraday=2020%2F08%2F13&amp;startHourIntraday=3&amp;startMinuteIntraday=0&amp;endDateIntraday=2020%2F08%2F13&amp;endHourIntraday=4&amp;endMinuteIntraday=0" htmlTables="1" htmlFormat="all"/>
  </connection>
  <connection id="569" name="Connection7" type="4" refreshedVersion="6" background="1" saveData="1">
    <webPr xl2000="1" url="https://fclm-portal.amazon.com/ppa/inspect/node/csv?nodeType=DS&amp;warehouseId=DCH5&amp;maxIntradayDays=1&amp;spanType=Intraday&amp;startDateIntraday=2020%2F03%2F23&amp;startHourIntraday=22&amp;startMinuteIntraday=0&amp;endDateIntraday=2020%2F03%2F23&amp;endHourIntraday=23&amp;endMinuteIntraday=0" htmlTables="1" htmlFormat="all"/>
  </connection>
  <connection id="570" name="Connection70" type="4" refreshedVersion="6" background="1" saveData="1">
    <webPr xl2000="1" url="https://fclm-portal.amazon.com/ppa/inspect/node/csv?nodeType=DS&amp;warehouseId=DDC4&amp;maxIntradayDays=1&amp;spanType=Intraday&amp;startDateIntraday=2020%2F09%2F18&amp;startHourIntraday=14&amp;startMinuteIntraday=0&amp;endDateIntraday=2020%2F09%2F18&amp;endHourIntraday=17&amp;endMinuteIntraday=0" htmlTables="1" htmlFormat="all"/>
  </connection>
  <connection id="571" name="Connection700" type="4" refreshedVersion="6" background="1" saveData="1">
    <webPr xl2000="1" url="https://fclm-portal.amazon.com/ppa/inspect/node/csv?nodeType=DS&amp;warehouseId=DDC4&amp;maxIntradayDays=1&amp;spanType=Intraday&amp;startDateIntraday=2020%2F08%2F13&amp;startHourIntraday=4&amp;startMinuteIntraday=0&amp;endDateIntraday=2020%2F08%2F13&amp;endHourIntraday=5&amp;endMinuteIntraday=0" htmlTables="1" htmlFormat="all"/>
  </connection>
  <connection id="572" name="Connection701" type="4" refreshedVersion="6" background="1" saveData="1">
    <webPr xl2000="1" url="https://fclm-portal.amazon.com/ppa/inspect/node/csv?nodeType=DS&amp;warehouseId=DDC4&amp;maxIntradayDays=1&amp;spanType=Intraday&amp;startDateIntraday=2020%2F08%2F13&amp;startHourIntraday=5&amp;startMinuteIntraday=0&amp;endDateIntraday=2020%2F08%2F13&amp;endHourIntraday=6&amp;endMinuteIntraday=0" htmlTables="1" htmlFormat="all"/>
  </connection>
  <connection id="573" name="Connection702" type="4" refreshedVersion="6" background="1" saveData="1">
    <webPr xl2000="1" url="https://fclm-portal.amazon.com/ppa/inspect/node/csv?nodeType=DS&amp;warehouseId=DDC4&amp;maxIntradayDays=1&amp;spanType=Intraday&amp;startDateIntraday=2020%2F08%2F13&amp;startHourIntraday=6&amp;startMinuteIntraday=0&amp;endDateIntraday=2020%2F08%2F13&amp;endHourIntraday=7&amp;endMinuteIntraday=0" htmlTables="1" htmlFormat="all"/>
  </connection>
  <connection id="574" name="Connection703" type="4" refreshedVersion="6" background="1" saveData="1">
    <webPr xl2000="1" url="https://fclm-portal.amazon.com/ppa/inspect/node/csv?nodeType=DS&amp;warehouseId=DDC4&amp;maxIntradayDays=1&amp;spanType=Intraday&amp;startDateIntraday=2020%2F08%2F13&amp;startHourIntraday=7&amp;startMinuteIntraday=0&amp;endDateIntraday=2020%2F08%2F13&amp;endHourIntraday=8&amp;endMinuteIntraday=0" htmlTables="1" htmlFormat="all"/>
  </connection>
  <connection id="575" name="Connection704" type="4" refreshedVersion="6" background="1" saveData="1">
    <webPr xl2000="1" url="https://fclm-portal.amazon.com/ppa/inspect/node/csv?nodeType=DS&amp;warehouseId=DDC4&amp;maxIntradayDays=1&amp;spanType=Intraday&amp;startDateIntraday=2020%2F08%2F13&amp;startHourIntraday=8&amp;startMinuteIntraday=0&amp;endDateIntraday=2020%2F08%2F13&amp;endHourIntraday=9&amp;endMinuteIntraday=0" htmlTables="1" htmlFormat="all"/>
  </connection>
  <connection id="576" name="Connection705" type="4" refreshedVersion="6" background="1" saveData="1">
    <webPr xl2000="1" url="https://fclm-portal.amazon.com/ppa/inspect/node/csv?nodeType=DS&amp;warehouseId=DDC4&amp;maxIntradayDays=1&amp;spanType=Intraday&amp;startDateIntraday=2020%2F08%2F13&amp;startHourIntraday=9&amp;startMinuteIntraday=0&amp;endDateIntraday=2020%2F08%2F13&amp;endHourIntraday=10&amp;endMinuteIntraday=0" htmlTables="1" htmlFormat="all"/>
  </connection>
  <connection id="577" name="Connection706" type="4" refreshedVersion="6" background="1" saveData="1">
    <webPr xl2000="1" url="https://fclm-portal.amazon.com/ppa/inspect/node/csv?nodeType=DS&amp;warehouseId=DDC4&amp;maxIntradayDays=1&amp;spanType=Intraday&amp;startDateIntraday=2020%2F08%2F13&amp;startHourIntraday=10&amp;startMinuteIntraday=0&amp;endDateIntraday=2020%2F08%2F13&amp;endHourIntraday=11&amp;endMinuteIntraday=0" htmlTables="1" htmlFormat="all"/>
  </connection>
  <connection id="578" name="Connection707" type="4" refreshedVersion="6" background="1" saveData="1">
    <webPr xl2000="1" url="https://fclm-portal.amazon.com/ppa/inspect/node/csv?nodeType=DS&amp;warehouseId=DDC4&amp;maxIntradayDays=1&amp;spanType=Intraday&amp;startDateIntraday=2020%2F08%2F13&amp;startHourIntraday=11&amp;startMinuteIntraday=0&amp;endDateIntraday=2020%2F08%2F13&amp;endHourIntraday=12&amp;endMinuteIntraday=0" htmlTables="1" htmlFormat="all"/>
  </connection>
  <connection id="579" name="Connection708" type="4" refreshedVersion="6" background="1" saveData="1">
    <webPr xl2000="1" url="https://fclm-portal.amazon.com/ppa/inspect/node/csv?nodeType=DS&amp;warehouseId=DDC4&amp;maxIntradayDays=1&amp;spanType=Intraday&amp;startDateIntraday=2020%2F08%2F13&amp;startHourIntraday=12&amp;startMinuteIntraday=0&amp;endDateIntraday=2020%2F08%2F13&amp;endHourIntraday=13&amp;endMinuteIntraday=0" htmlTables="1" htmlFormat="all"/>
  </connection>
  <connection id="580" name="Connection709" type="4" refreshedVersion="6" background="1" saveData="1">
    <webPr xl2000="1" url="https://fclm-portal.amazon.com/ppa/inspect/node/csv?nodeType=DS&amp;warehouseId=DDC4&amp;maxIntradayDays=1&amp;spanType=Intraday&amp;startDateIntraday=2020%2F08%2F12&amp;startHourIntraday=13&amp;startMinuteIntraday=0&amp;endDateIntraday=2020%2F08%2F12&amp;endHourIntraday=14&amp;endMinuteIntraday=0" htmlTables="1" htmlFormat="all"/>
  </connection>
  <connection id="581" name="Connection71" type="4" refreshedVersion="6" background="1" saveData="1">
    <webPr xl2000="1" url="https://fclm-portal.amazon.com/ppa/inspect/node/csv?nodeType=DS&amp;warehouseId=DPD1&amp;maxIntradayDays=1&amp;spanType=Intraday&amp;startDateIntraday=2020%2F04%2F19&amp;startHourIntraday=8&amp;startMinuteIntraday=0&amp;endDateIntraday=2020%2F04%2F19&amp;endHourIntraday=9&amp;endMinuteIntraday=0" htmlTables="1" htmlFormat="all"/>
  </connection>
  <connection id="582" name="Connection710" type="4" refreshedVersion="6" background="1" saveData="1">
    <webPr xl2000="1" url="https://fclm-portal.amazon.com/ppa/inspect/node/csv?nodeType=DS&amp;warehouseId=DDC4&amp;maxIntradayDays=1&amp;spanType=Intraday&amp;startDateIntraday=2020%2F08%2F12&amp;startHourIntraday=14&amp;startMinuteIntraday=0&amp;endDateIntraday=2020%2F08%2F12&amp;endHourIntraday=15&amp;endMinuteIntraday=0" htmlTables="1" htmlFormat="all"/>
  </connection>
  <connection id="583" name="Connection711" type="4" refreshedVersion="6" background="1" saveData="1">
    <webPr xl2000="1" url="https://fclm-portal.amazon.com/ppa/inspect/node/csv?nodeType=DS&amp;warehouseId=DDC4&amp;maxIntradayDays=1&amp;spanType=Intraday&amp;startDateIntraday=2020%2F08%2F12&amp;startHourIntraday=15&amp;startMinuteIntraday=0&amp;endDateIntraday=2020%2F08%2F12&amp;endHourIntraday=16&amp;endMinuteIntraday=0" htmlTables="1" htmlFormat="all"/>
  </connection>
  <connection id="584" name="Connection712" type="4" refreshedVersion="6" background="1" saveData="1">
    <webPr xl2000="1" url="https://fclm-portal.amazon.com/ppa/inspect/node/csv?nodeType=DS&amp;warehouseId=DDC4&amp;maxIntradayDays=1&amp;spanType=Intraday&amp;startDateIntraday=2020%2F08%2F12&amp;startHourIntraday=16&amp;startMinuteIntraday=0&amp;endDateIntraday=2020%2F08%2F12&amp;endHourIntraday=17&amp;endMinuteIntraday=0" htmlTables="1" htmlFormat="all"/>
  </connection>
  <connection id="585" name="Connection713" type="4" refreshedVersion="6" background="1" saveData="1">
    <webPr xl2000="1" url="https://fclm-portal.amazon.com/ppa/inspect/node/csv?nodeType=DS&amp;warehouseId=DDC4&amp;maxIntradayDays=1&amp;spanType=Intraday&amp;startDateIntraday=2020%2F08%2F13&amp;startHourIntraday=17&amp;startMinuteIntraday=0&amp;endDateIntraday=2020%2F08%2F13&amp;endHourIntraday=18&amp;endMinuteIntraday=0" htmlTables="1" htmlFormat="all"/>
  </connection>
  <connection id="586" name="Connection714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587" name="Connection715" type="4" refreshedVersion="6" background="1" saveData="1">
    <webPr xl2000="1" url="https://fclm-portal.amazon.com/ppa/inspect/node/csv?nodeType=DS&amp;warehouseId=DDC4&amp;maxIntradayDays=1&amp;spanType=Intraday&amp;startDateIntraday=2020%2F08%2F13&amp;startHourIntraday=19&amp;startMinuteIntraday=0&amp;endDateIntraday=2020%2F08%2F13&amp;endHourIntraday=20&amp;endMinuteIntraday=0" htmlTables="1" htmlFormat="all"/>
  </connection>
  <connection id="588" name="Connection716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589" name="Connection717" type="4" refreshedVersion="6" background="1" saveData="1">
    <webPr xl2000="1" url="https://fclm-portal.amazon.com/ppa/inspect/node/csv?nodeType=DS&amp;warehouseId=DDC4&amp;maxIntradayDays=1&amp;spanType=Intraday&amp;startDateIntraday=2020%2F08%2F13&amp;startHourIntraday=21&amp;startMinuteIntraday=0&amp;endDateIntraday=2020%2F08%2F13&amp;endHourIntraday=22&amp;endMinuteIntraday=0" htmlTables="1" htmlFormat="all"/>
  </connection>
  <connection id="590" name="Connection718" type="4" refreshedVersion="6" background="1" saveData="1">
    <webPr xl2000="1" url="https://fclm-portal.amazon.com/ppa/inspect/node/csv?nodeType=DS&amp;warehouseId=DDC4&amp;maxIntradayDays=1&amp;spanType=Intraday&amp;startDateIntraday=2020%2F08%2F13&amp;startHourIntraday=17&amp;startMinuteIntraday=0&amp;endDateIntraday=2020%2F08%2F13&amp;endHourIntraday=18&amp;endMinuteIntraday=0" htmlTables="1" htmlFormat="all"/>
  </connection>
  <connection id="591" name="Connection719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592" name="Connection720" type="4" refreshedVersion="6" background="1" saveData="1">
    <webPr xl2000="1" url="https://fclm-portal.amazon.com/ppa/inspect/node/csv?nodeType=DS&amp;warehouseId=DDC4&amp;maxIntradayDays=1&amp;spanType=Intraday&amp;startDateIntraday=2020%2F08%2F13&amp;startHourIntraday=1&amp;startMinuteIntraday=0&amp;endDateIntraday=2020%2F08%2F13&amp;endHourIntraday=2&amp;endMinuteIntraday=0" htmlTables="1" htmlFormat="all"/>
  </connection>
  <connection id="593" name="Connection721" type="4" refreshedVersion="6" background="1" saveData="1">
    <webPr xl2000="1" url="https://fclm-portal.amazon.com/ppa/inspect/node/csv?nodeType=DS&amp;warehouseId=DDC4&amp;maxIntradayDays=1&amp;spanType=Intraday&amp;startDateIntraday=2020%2F08%2F13&amp;startHourIntraday=4&amp;startMinuteIntraday=0&amp;endDateIntraday=2020%2F08%2F13&amp;endHourIntraday=5&amp;endMinuteIntraday=0" htmlTables="1" htmlFormat="all"/>
  </connection>
  <connection id="594" name="Connection722" type="4" refreshedVersion="6" background="1" saveData="1">
    <webPr xl2000="1" url="https://fclm-portal.amazon.com/ppa/inspect/node/csv?nodeType=DS&amp;warehouseId=DDC4&amp;maxIntradayDays=1&amp;spanType=Intraday&amp;startDateIntraday=2020%2F08%2F13&amp;startHourIntraday=7&amp;startMinuteIntraday=0&amp;endDateIntraday=2020%2F08%2F13&amp;endHourIntraday=8&amp;endMinuteIntraday=0" htmlTables="1" htmlFormat="all"/>
  </connection>
  <connection id="595" name="Connection723" type="4" refreshedVersion="6" background="1" saveData="1">
    <webPr xl2000="1" url="https://fclm-portal.amazon.com/ppa/inspect/node/csv?nodeType=DS&amp;warehouseId=DDC4&amp;maxIntradayDays=1&amp;spanType=Intraday&amp;startDateIntraday=2020%2F08%2F12&amp;startHourIntraday=23&amp;startMinuteIntraday=0&amp;endDateIntraday=2020%2F08%2F13&amp;endHourIntraday=0&amp;endMinuteIntraday=0" htmlTables="1" htmlFormat="all"/>
  </connection>
  <connection id="596" name="Connection724" type="4" refreshedVersion="6" background="1" saveData="1">
    <webPr xl2000="1" url="https://fclm-portal.amazon.com/ppa/inspect/node/csv?nodeType=DS&amp;warehouseId=DDC4&amp;maxIntradayDays=1&amp;spanType=Intraday&amp;startDateIntraday=2020%2F08%2F13&amp;startHourIntraday=0&amp;startMinuteIntraday=0&amp;endDateIntraday=2020%2F08%2F13&amp;endHourIntraday=1&amp;endMinuteIntraday=0" htmlTables="1" htmlFormat="all"/>
  </connection>
  <connection id="597" name="Connection725" type="4" refreshedVersion="6" background="1" saveData="1">
    <webPr xl2000="1" url="https://fclm-portal.amazon.com/ppa/inspect/node/csv?nodeType=DS&amp;warehouseId=DDC4&amp;maxIntradayDays=1&amp;spanType=Intraday&amp;startDateIntraday=2020%2F08%2F13&amp;startHourIntraday=1&amp;startMinuteIntraday=0&amp;endDateIntraday=2020%2F08%2F13&amp;endHourIntraday=2&amp;endMinuteIntraday=0" htmlTables="1" htmlFormat="all"/>
  </connection>
  <connection id="598" name="Connection726" type="4" refreshedVersion="6" background="1" saveData="1">
    <webPr xl2000="1" url="https://fclm-portal.amazon.com/ppa/inspect/node/csv?nodeType=DS&amp;warehouseId=DDC4&amp;maxIntradayDays=1&amp;spanType=Intraday&amp;startDateIntraday=2020%2F08%2F13&amp;startHourIntraday=2&amp;startMinuteIntraday=0&amp;endDateIntraday=2020%2F08%2F13&amp;endHourIntraday=3&amp;endMinuteIntraday=0" htmlTables="1" htmlFormat="all"/>
  </connection>
  <connection id="599" name="Connection727" type="4" refreshedVersion="6" background="1" saveData="1">
    <webPr xl2000="1" url="https://fclm-portal.amazon.com/ppa/inspect/node/csv?nodeType=DS&amp;warehouseId=DDC4&amp;maxIntradayDays=1&amp;spanType=Intraday&amp;startDateIntraday=2020%2F08%2F12&amp;startHourIntraday=21&amp;startMinuteIntraday=0&amp;endDateIntraday=2020%2F08%2F12&amp;endHourIntraday=22&amp;endMinuteIntraday=0" htmlTables="1" htmlFormat="all"/>
  </connection>
  <connection id="600" name="Connection728" type="4" refreshedVersion="6" background="1" saveData="1">
    <webPr xl2000="1" url="https://fclm-portal.amazon.com/ppa/inspect/node/csv?nodeType=DS&amp;warehouseId=DDC4&amp;maxIntradayDays=1&amp;spanType=Intraday&amp;startDateIntraday=2020%2F08%2F12&amp;startHourIntraday=22&amp;startMinuteIntraday=0&amp;endDateIntraday=2020%2F08%2F12&amp;endHourIntraday=23&amp;endMinuteIntraday=0" htmlTables="1" htmlFormat="all"/>
  </connection>
  <connection id="601" name="Connection729" type="4" refreshedVersion="6" background="1" saveData="1">
    <webPr xl2000="1" url="https://fclm-portal.amazon.com/ppa/inspect/node/csv?nodeType=DS&amp;warehouseId=DDC4&amp;maxIntradayDays=1&amp;spanType=Intraday&amp;startDateIntraday=2020%2F08%2F12&amp;startHourIntraday=23&amp;startMinuteIntraday=0&amp;endDateIntraday=2020%2F08%2F13&amp;endHourIntraday=0&amp;endMinuteIntraday=0" htmlTables="1" htmlFormat="all"/>
  </connection>
  <connection id="602" name="Connection73" type="4" refreshedVersion="6" background="1" saveData="1">
    <webPr xl2000="1" url="https://fclm-portal.amazon.com/ppa/inspect/node/csv?nodeType=DS&amp;warehouseId=DPD5&amp;maxIntradayDays=1&amp;spanType=Intraday&amp;startDateIntraday=2020%2F04%2F16&amp;startHourIntraday=3&amp;startMinuteIntraday=0&amp;endDateIntraday=2020%2F04%2F16&amp;endHourIntraday=4&amp;endMinuteIntraday=0" htmlTables="1" htmlFormat="all"/>
  </connection>
  <connection id="603" name="Connection730" type="4" refreshedVersion="6" background="1" saveData="1">
    <webPr xl2000="1" url="https://fclm-portal.amazon.com/ppa/inspect/node/csv?nodeType=DS&amp;warehouseId=DDC4&amp;maxIntradayDays=1&amp;spanType=Intraday&amp;startDateIntraday=2020%2F08%2F13&amp;startHourIntraday=0&amp;startMinuteIntraday=0&amp;endDateIntraday=2020%2F08%2F13&amp;endHourIntraday=1&amp;endMinuteIntraday=0" htmlTables="1" htmlFormat="all"/>
  </connection>
  <connection id="604" name="Connection731" type="4" refreshedVersion="6" background="1" saveData="1">
    <webPr xl2000="1" url="https://fclm-portal.amazon.com/ppa/inspect/node/csv?nodeType=DS&amp;warehouseId=DDC4&amp;maxIntradayDays=1&amp;spanType=Intraday&amp;startDateIntraday=2020%2F08%2F13&amp;startHourIntraday=1&amp;startMinuteIntraday=0&amp;endDateIntraday=2020%2F08%2F13&amp;endHourIntraday=2&amp;endMinuteIntraday=0" htmlTables="1" htmlFormat="all"/>
  </connection>
  <connection id="605" name="Connection732" type="4" refreshedVersion="6" background="1" saveData="1">
    <webPr xl2000="1" url="https://fclm-portal.amazon.com/ppa/inspect/node/csv?nodeType=DS&amp;warehouseId=DDC4&amp;maxIntradayDays=1&amp;spanType=Intraday&amp;startDateIntraday=2020%2F08%2F13&amp;startHourIntraday=2&amp;startMinuteIntraday=0&amp;endDateIntraday=2020%2F08%2F13&amp;endHourIntraday=3&amp;endMinuteIntraday=0" htmlTables="1" htmlFormat="all"/>
  </connection>
  <connection id="606" name="Connection733" type="4" refreshedVersion="6" background="1" saveData="1">
    <webPr xl2000="1" url="https://fclm-portal.amazon.com/ppa/inspect/node/csv?nodeType=DS&amp;warehouseId=DDC4&amp;maxIntradayDays=1&amp;spanType=Intraday&amp;startDateIntraday=2020%2F08%2F12&amp;startHourIntraday=17&amp;startMinuteIntraday=0&amp;endDateIntraday=2020%2F08%2F12&amp;endHourIntraday=18&amp;endMinuteIntraday=0" htmlTables="1" htmlFormat="all"/>
  </connection>
  <connection id="607" name="Connection734" type="4" refreshedVersion="6" background="1" saveData="1">
    <webPr xl2000="1" url="https://fclm-portal.amazon.com/ppa/inspect/node/csv?nodeType=DS&amp;warehouseId=DDC4&amp;maxIntradayDays=1&amp;spanType=Intraday&amp;startDateIntraday=2020%2F08%2F12&amp;startHourIntraday=18&amp;startMinuteIntraday=0&amp;endDateIntraday=2020%2F08%2F12&amp;endHourIntraday=19&amp;endMinuteIntraday=0" htmlTables="1" htmlFormat="all"/>
  </connection>
  <connection id="608" name="Connection735" type="4" refreshedVersion="6" background="1" saveData="1">
    <webPr xl2000="1" url="https://fclm-portal.amazon.com/ppa/inspect/node/csv?nodeType=DS&amp;warehouseId=DDC4&amp;maxIntradayDays=1&amp;spanType=Intraday&amp;startDateIntraday=2020%2F08%2F12&amp;startHourIntraday=19&amp;startMinuteIntraday=0&amp;endDateIntraday=2020%2F08%2F12&amp;endHourIntraday=20&amp;endMinuteIntraday=0" htmlTables="1" htmlFormat="all"/>
  </connection>
  <connection id="609" name="Connection736" type="4" refreshedVersion="6" background="1" saveData="1">
    <webPr xl2000="1" url="https://fclm-portal.amazon.com/ppa/inspect/node/csv?nodeType=DS&amp;warehouseId=DDC4&amp;maxIntradayDays=1&amp;spanType=Intraday&amp;startDateIntraday=2020%2F08%2F12&amp;startHourIntraday=20&amp;startMinuteIntraday=0&amp;endDateIntraday=2020%2F08%2F12&amp;endHourIntraday=21&amp;endMinuteIntraday=0" htmlTables="1" htmlFormat="all"/>
  </connection>
  <connection id="610" name="Connection737" type="4" refreshedVersion="6" background="1" saveData="1">
    <webPr xl2000="1" url="https://fclm-portal.amazon.com/ppa/inspect/node/csv?nodeType=DS&amp;warehouseId=DDC4&amp;maxIntradayDays=1&amp;spanType=Intraday&amp;startDateIntraday=2020%2F08%2F12&amp;startHourIntraday=21&amp;startMinuteIntraday=0&amp;endDateIntraday=2020%2F08%2F12&amp;endHourIntraday=22&amp;endMinuteIntraday=0" htmlTables="1" htmlFormat="all"/>
  </connection>
  <connection id="611" name="Connection738" type="4" refreshedVersion="6" background="1" saveData="1">
    <webPr xl2000="1" url="https://fclm-portal.amazon.com/ppa/inspect/node/csv?nodeType=DS&amp;warehouseId=DDC4&amp;maxIntradayDays=1&amp;spanType=Intraday&amp;startDateIntraday=2020%2F08%2F12&amp;startHourIntraday=22&amp;startMinuteIntraday=0&amp;endDateIntraday=2020%2F08%2F12&amp;endHourIntraday=23&amp;endMinuteIntraday=0" htmlTables="1" htmlFormat="all"/>
  </connection>
  <connection id="612" name="Connection739" type="4" refreshedVersion="6" background="1" saveData="1">
    <webPr xl2000="1" url="https://fclm-portal.amazon.com/ppa/inspect/node/csv?nodeType=DS&amp;warehouseId=DDC4&amp;maxIntradayDays=1&amp;spanType=Intraday&amp;startDateIntraday=2020%2F08%2F12&amp;startHourIntraday=23&amp;startMinuteIntraday=0&amp;endDateIntraday=2020%2F08%2F13&amp;endHourIntraday=0&amp;endMinuteIntraday=0" htmlTables="1" htmlFormat="all"/>
  </connection>
  <connection id="613" name="Connection740" type="4" refreshedVersion="6" background="1" saveData="1">
    <webPr xl2000="1" url="https://fclm-portal.amazon.com/ppa/inspect/node/csv?nodeType=DS&amp;warehouseId=DDC4&amp;maxIntradayDays=1&amp;spanType=Intraday&amp;startDateIntraday=2020%2F08%2F13&amp;startHourIntraday=0&amp;startMinuteIntraday=0&amp;endDateIntraday=2020%2F08%2F13&amp;endHourIntraday=1&amp;endMinuteIntraday=0" htmlTables="1" htmlFormat="all"/>
  </connection>
  <connection id="614" name="Connection741" type="4" refreshedVersion="6" background="1" saveData="1">
    <webPr xl2000="1" url="https://fclm-portal.amazon.com/ppa/inspect/node/csv?nodeType=DS&amp;warehouseId=DDC4&amp;maxIntradayDays=1&amp;spanType=Intraday&amp;startDateIntraday=2020%2F08%2F13&amp;startHourIntraday=1&amp;startMinuteIntraday=0&amp;endDateIntraday=2020%2F08%2F13&amp;endHourIntraday=2&amp;endMinuteIntraday=0" htmlTables="1" htmlFormat="all"/>
  </connection>
  <connection id="615" name="Connection742" type="4" refreshedVersion="6" background="1" saveData="1">
    <webPr xl2000="1" url="https://fclm-portal.amazon.com/ppa/inspect/node/csv?nodeType=DS&amp;warehouseId=DDC4&amp;maxIntradayDays=1&amp;spanType=Intraday&amp;startDateIntraday=2020%2F08%2F13&amp;startHourIntraday=2&amp;startMinuteIntraday=0&amp;endDateIntraday=2020%2F08%2F13&amp;endHourIntraday=3&amp;endMinuteIntraday=0" htmlTables="1" htmlFormat="all"/>
  </connection>
  <connection id="616" name="Connection743" type="4" refreshedVersion="6" background="1" saveData="1">
    <webPr xl2000="1" url="https://fclm-portal.amazon.com/ppa/inspect/node/csv?nodeType=DS&amp;warehouseId=DDC4&amp;maxIntradayDays=1&amp;spanType=Intraday&amp;startDateIntraday=2020%2F08%2F13&amp;startHourIntraday=3&amp;startMinuteIntraday=0&amp;endDateIntraday=2020%2F08%2F13&amp;endHourIntraday=4&amp;endMinuteIntraday=0" htmlTables="1" htmlFormat="all"/>
  </connection>
  <connection id="617" name="Connection744" type="4" refreshedVersion="6" background="1" saveData="1">
    <webPr xl2000="1" url="https://fclm-portal.amazon.com/ppa/inspect/node/csv?nodeType=DS&amp;warehouseId=DDC4&amp;maxIntradayDays=1&amp;spanType=Intraday&amp;startDateIntraday=2020%2F08%2F13&amp;startHourIntraday=4&amp;startMinuteIntraday=0&amp;endDateIntraday=2020%2F08%2F13&amp;endHourIntraday=5&amp;endMinuteIntraday=0" htmlTables="1" htmlFormat="all"/>
  </connection>
  <connection id="618" name="Connection745" type="4" refreshedVersion="6" background="1" saveData="1">
    <webPr xl2000="1" url="https://fclm-portal.amazon.com/ppa/inspect/node/csv?nodeType=DS&amp;warehouseId=DDC4&amp;maxIntradayDays=1&amp;spanType=Intraday&amp;startDateIntraday=2020%2F08%2F13&amp;startHourIntraday=5&amp;startMinuteIntraday=0&amp;endDateIntraday=2020%2F08%2F13&amp;endHourIntraday=6&amp;endMinuteIntraday=0" htmlTables="1" htmlFormat="all"/>
  </connection>
  <connection id="619" name="Connection746" type="4" refreshedVersion="6" background="1" saveData="1">
    <webPr xl2000="1" url="https://fclm-portal.amazon.com/ppa/inspect/node/csv?nodeType=DS&amp;warehouseId=DDC4&amp;maxIntradayDays=1&amp;spanType=Intraday&amp;startDateIntraday=2020%2F08%2F13&amp;startHourIntraday=6&amp;startMinuteIntraday=0&amp;endDateIntraday=2020%2F08%2F13&amp;endHourIntraday=7&amp;endMinuteIntraday=0" htmlTables="1" htmlFormat="all"/>
  </connection>
  <connection id="620" name="Connection747" type="4" refreshedVersion="6" background="1" saveData="1">
    <webPr xl2000="1" url="https://fclm-portal.amazon.com/ppa/inspect/node/csv?nodeType=DS&amp;warehouseId=DDC4&amp;maxIntradayDays=1&amp;spanType=Intraday&amp;startDateIntraday=2020%2F08%2F13&amp;startHourIntraday=7&amp;startMinuteIntraday=0&amp;endDateIntraday=2020%2F08%2F13&amp;endHourIntraday=8&amp;endMinuteIntraday=0" htmlTables="1" htmlFormat="all"/>
  </connection>
  <connection id="621" name="Connection748" type="4" refreshedVersion="6" background="1" saveData="1">
    <webPr xl2000="1" url="https://fclm-portal.amazon.com/ppa/inspect/node/csv?nodeType=DS&amp;warehouseId=DDC4&amp;maxIntradayDays=1&amp;spanType=Intraday&amp;startDateIntraday=2020%2F08%2F13&amp;startHourIntraday=8&amp;startMinuteIntraday=0&amp;endDateIntraday=2020%2F08%2F13&amp;endHourIntraday=9&amp;endMinuteIntraday=0" htmlTables="1" htmlFormat="all"/>
  </connection>
  <connection id="622" name="Connection749" type="4" refreshedVersion="6" background="1" saveData="1">
    <webPr xl2000="1" url="https://fclm-portal.amazon.com/ppa/inspect/node/csv?nodeType=DS&amp;warehouseId=DDC4&amp;maxIntradayDays=1&amp;spanType=Intraday&amp;startDateIntraday=2020%2F08%2F13&amp;startHourIntraday=9&amp;startMinuteIntraday=0&amp;endDateIntraday=2020%2F08%2F13&amp;endHourIntraday=10&amp;endMinuteIntraday=0" htmlTables="1" htmlFormat="all"/>
  </connection>
  <connection id="623" name="Connection750" type="4" refreshedVersion="6" background="1" saveData="1">
    <webPr xl2000="1" url="https://fclm-portal.amazon.com/ppa/inspect/node/csv?nodeType=DS&amp;warehouseId=DDC4&amp;maxIntradayDays=1&amp;spanType=Intraday&amp;startDateIntraday=2020%2F08%2F13&amp;startHourIntraday=10&amp;startMinuteIntraday=0&amp;endDateIntraday=2020%2F08%2F13&amp;endHourIntraday=11&amp;endMinuteIntraday=0" htmlTables="1" htmlFormat="all"/>
  </connection>
  <connection id="624" name="Connection751" type="4" refreshedVersion="6" background="1" saveData="1">
    <webPr xl2000="1" url="https://fclm-portal.amazon.com/ppa/inspect/node/csv?nodeType=DS&amp;warehouseId=DDC4&amp;maxIntradayDays=1&amp;spanType=Intraday&amp;startDateIntraday=2020%2F08%2F13&amp;startHourIntraday=11&amp;startMinuteIntraday=0&amp;endDateIntraday=2020%2F08%2F13&amp;endHourIntraday=12&amp;endMinuteIntraday=0" htmlTables="1" htmlFormat="all"/>
  </connection>
  <connection id="625" name="Connection752" type="4" refreshedVersion="6" background="1" saveData="1">
    <webPr xl2000="1" url="https://fclm-portal.amazon.com/ppa/inspect/node/csv?nodeType=DS&amp;warehouseId=DDC4&amp;maxIntradayDays=1&amp;spanType=Intraday&amp;startDateIntraday=2020%2F08%2F13&amp;startHourIntraday=12&amp;startMinuteIntraday=0&amp;endDateIntraday=2020%2F08%2F13&amp;endHourIntraday=13&amp;endMinuteIntraday=0" htmlTables="1" htmlFormat="all"/>
  </connection>
  <connection id="626" name="Connection753" type="4" refreshedVersion="6" background="1" saveData="1">
    <webPr xl2000="1" url="https://fclm-portal.amazon.com/ppa/inspect/node/csv?nodeType=DS&amp;warehouseId=DDC4&amp;maxIntradayDays=1&amp;spanType=Intraday&amp;startDateIntraday=2020%2F08%2F12&amp;startHourIntraday=13&amp;startMinuteIntraday=0&amp;endDateIntraday=2020%2F08%2F12&amp;endHourIntraday=14&amp;endMinuteIntraday=0" htmlTables="1" htmlFormat="all"/>
  </connection>
  <connection id="627" name="Connection754" type="4" refreshedVersion="6" background="1" saveData="1">
    <webPr xl2000="1" url="https://fclm-portal.amazon.com/ppa/inspect/node/csv?nodeType=DS&amp;warehouseId=DDC4&amp;maxIntradayDays=1&amp;spanType=Intraday&amp;startDateIntraday=2020%2F08%2F12&amp;startHourIntraday=14&amp;startMinuteIntraday=0&amp;endDateIntraday=2020%2F08%2F12&amp;endHourIntraday=15&amp;endMinuteIntraday=0" htmlTables="1" htmlFormat="all"/>
  </connection>
  <connection id="628" name="Connection755" type="4" refreshedVersion="6" background="1" saveData="1">
    <webPr xl2000="1" url="https://fclm-portal.amazon.com/ppa/inspect/node/csv?nodeType=DS&amp;warehouseId=DDC4&amp;maxIntradayDays=1&amp;spanType=Intraday&amp;startDateIntraday=2020%2F08%2F12&amp;startHourIntraday=15&amp;startMinuteIntraday=0&amp;endDateIntraday=2020%2F08%2F12&amp;endHourIntraday=16&amp;endMinuteIntraday=0" htmlTables="1" htmlFormat="all"/>
  </connection>
  <connection id="629" name="Connection756" type="4" refreshedVersion="6" background="1" saveData="1">
    <webPr xl2000="1" url="https://fclm-portal.amazon.com/ppa/inspect/node/csv?nodeType=DS&amp;warehouseId=DDC4&amp;maxIntradayDays=1&amp;spanType=Intraday&amp;startDateIntraday=2020%2F08%2F12&amp;startHourIntraday=16&amp;startMinuteIntraday=0&amp;endDateIntraday=2020%2F08%2F12&amp;endHourIntraday=17&amp;endMinuteIntraday=0" htmlTables="1" htmlFormat="all"/>
  </connection>
  <connection id="630" name="Connection757" type="4" refreshedVersion="6" background="1" saveData="1">
    <webPr xl2000="1" url="https://fclm-portal.amazon.com/ppa/inspect/node/csv?nodeType=DS&amp;warehouseId=DDC4&amp;maxIntradayDays=1&amp;spanType=Intraday&amp;startDateIntraday=2020%2F08%2F13&amp;startHourIntraday=17&amp;startMinuteIntraday=0&amp;endDateIntraday=2020%2F08%2F13&amp;endHourIntraday=18&amp;endMinuteIntraday=0" htmlTables="1" htmlFormat="all"/>
  </connection>
  <connection id="631" name="Connection758" type="4" refreshedVersion="6" background="1" saveData="1">
    <webPr xl2000="1" url="https://fclm-portal.amazon.com/ppa/inspect/node/csv?nodeType=DS&amp;warehouseId=DDC4&amp;maxIntradayDays=1&amp;spanType=Intraday&amp;startDateIntraday=2020%2F08%2F13&amp;startHourIntraday=19&amp;startMinuteIntraday=0&amp;endDateIntraday=2020%2F08%2F13&amp;endHourIntraday=20&amp;endMinuteIntraday=0" htmlTables="1" htmlFormat="all"/>
  </connection>
  <connection id="632" name="Connection759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633" name="Connection760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634" name="Connection761" type="4" refreshedVersion="6" background="1" saveData="1">
    <webPr xl2000="1" url="https://fclm-portal.amazon.com/ppa/inspect/node/csv?nodeType=DS&amp;warehouseId=DDC4&amp;maxIntradayDays=1&amp;spanType=Intraday&amp;startDateIntraday=2020%2F08%2F13&amp;startHourIntraday=21&amp;startMinuteIntraday=0&amp;endDateIntraday=2020%2F08%2F13&amp;endHourIntraday=22&amp;endMinuteIntraday=0" htmlTables="1" htmlFormat="all"/>
  </connection>
  <connection id="635" name="Connection762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636" name="Connection763" type="4" refreshedVersion="6" background="1" saveData="1">
    <webPr xl2000="1" url="https://fclm-portal.amazon.com/ppa/inspect/node/csv?nodeType=DS&amp;warehouseId=DDC4&amp;maxIntradayDays=1&amp;spanType=Intraday&amp;startDateIntraday=2020%2F08%2F13&amp;startHourIntraday=21&amp;startMinuteIntraday=0&amp;endDateIntraday=2020%2F08%2F13&amp;endHourIntraday=22&amp;endMinuteIntraday=0" htmlTables="1" htmlFormat="all"/>
  </connection>
  <connection id="637" name="Connection764" type="4" refreshedVersion="6" background="1" saveData="1">
    <webPr xl2000="1" url="https://fclm-portal.amazon.com/ppa/inspect/node/csv?nodeType=DS&amp;warehouseId=DDC4&amp;maxIntradayDays=1&amp;spanType=Intraday&amp;startDateIntraday=2020%2F08%2F13&amp;startHourIntraday=8&amp;startMinuteIntraday=0&amp;endDateIntraday=2020%2F08%2F13&amp;endHourIntraday=9&amp;endMinuteIntraday=0" htmlTables="1" htmlFormat="all"/>
  </connection>
  <connection id="638" name="Connection765" type="4" refreshedVersion="6" background="1" saveData="1">
    <webPr xl2000="1" url="https://fclm-portal.amazon.com/ppa/inspect/node/csv?nodeType=DS&amp;warehouseId=DDC4&amp;maxIntradayDays=1&amp;spanType=Intraday&amp;startDateIntraday=2020%2F08%2F13&amp;startHourIntraday=9&amp;startMinuteIntraday=0&amp;endDateIntraday=2020%2F08%2F13&amp;endHourIntraday=10&amp;endMinuteIntraday=0" htmlTables="1" htmlFormat="all"/>
  </connection>
  <connection id="639" name="Connection766" type="4" refreshedVersion="6" background="1" saveData="1">
    <webPr xl2000="1" url="https://fclm-portal.amazon.com/ppa/inspect/node/csv?nodeType=DS&amp;warehouseId=DDC4&amp;maxIntradayDays=1&amp;spanType=Intraday&amp;startDateIntraday=2020%2F08%2F13&amp;startHourIntraday=6&amp;startMinuteIntraday=0&amp;endDateIntraday=2020%2F08%2F13&amp;endHourIntraday=7&amp;endMinuteIntraday=0" htmlTables="1" htmlFormat="all"/>
  </connection>
  <connection id="640" name="Connection767" type="4" refreshedVersion="6" background="1" saveData="1">
    <webPr xl2000="1" url="https://fclm-portal.amazon.com/ppa/inspect/node/csv?nodeType=DS&amp;warehouseId=DDC4&amp;maxIntradayDays=1&amp;spanType=Intraday&amp;startDateIntraday=2020%2F08%2F13&amp;startHourIntraday=7&amp;startMinuteIntraday=0&amp;endDateIntraday=2020%2F08%2F13&amp;endHourIntraday=8&amp;endMinuteIntraday=0" htmlTables="1" htmlFormat="all"/>
  </connection>
  <connection id="641" name="Connection768" type="4" refreshedVersion="6" background="1" saveData="1">
    <webPr xl2000="1" url="https://fclm-portal.amazon.com/ppa/inspect/node/csv?nodeType=DS&amp;warehouseId=DDC4&amp;maxIntradayDays=1&amp;spanType=Intraday&amp;startDateIntraday=2020%2F08%2F13&amp;startHourIntraday=11&amp;startMinuteIntraday=0&amp;endDateIntraday=2020%2F08%2F13&amp;endHourIntraday=12&amp;endMinuteIntraday=0" htmlTables="1" htmlFormat="all"/>
  </connection>
  <connection id="642" name="Connection769" type="4" refreshedVersion="6" background="1" saveData="1">
    <webPr xl2000="1" url="https://fclm-portal.amazon.com/ppa/inspect/node/csv?nodeType=DS&amp;warehouseId=DDC4&amp;maxIntradayDays=1&amp;spanType=Intraday&amp;startDateIntraday=2020%2F08%2F13&amp;startHourIntraday=10&amp;startMinuteIntraday=0&amp;endDateIntraday=2020%2F08%2F13&amp;endHourIntraday=11&amp;endMinuteIntraday=0" htmlTables="1" htmlFormat="all"/>
  </connection>
  <connection id="643" name="Connection770" type="4" refreshedVersion="6" background="1" saveData="1">
    <webPr xl2000="1" url="https://fclm-portal.amazon.com/ppa/inspect/node/csv?nodeType=DS&amp;warehouseId=DDC4&amp;maxIntradayDays=1&amp;spanType=Intraday&amp;startDateIntraday=2020%2F08%2F13&amp;startHourIntraday=12&amp;startMinuteIntraday=0&amp;endDateIntraday=2020%2F08%2F13&amp;endHourIntraday=13&amp;endMinuteIntraday=0" htmlTables="1" htmlFormat="all"/>
  </connection>
  <connection id="644" name="Connection771" type="4" refreshedVersion="6" background="1" saveData="1">
    <webPr xl2000="1" url="https://fclm-portal.amazon.com/ppa/inspect/node/csv?nodeType=DS&amp;warehouseId=DDC4&amp;maxIntradayDays=1&amp;spanType=Intraday&amp;startDateIntraday=2020%2F08%2F13&amp;startHourIntraday=6&amp;startMinuteIntraday=0&amp;endDateIntraday=2020%2F08%2F13&amp;endHourIntraday=7&amp;endMinuteIntraday=0" htmlTables="1" htmlFormat="all"/>
  </connection>
  <connection id="645" name="Connection772" type="4" refreshedVersion="6" background="1" saveData="1">
    <webPr xl2000="1" url="https://fclm-portal.amazon.com/ppa/inspect/node/csv?nodeType=DS&amp;warehouseId=DDC4&amp;maxIntradayDays=1&amp;spanType=Intraday&amp;startDateIntraday=2020%2F08%2F13&amp;startHourIntraday=7&amp;startMinuteIntraday=0&amp;endDateIntraday=2020%2F08%2F13&amp;endHourIntraday=8&amp;endMinuteIntraday=0" htmlTables="1" htmlFormat="all"/>
  </connection>
  <connection id="646" name="Connection773" type="4" refreshedVersion="6" background="1" saveData="1">
    <webPr xl2000="1" url="https://fclm-portal.amazon.com/ppa/inspect/node/csv?nodeType=DS&amp;warehouseId=DDC4&amp;maxIntradayDays=1&amp;spanType=Intraday&amp;startDateIntraday=2020%2F08%2F13&amp;startHourIntraday=8&amp;startMinuteIntraday=0&amp;endDateIntraday=2020%2F08%2F13&amp;endHourIntraday=9&amp;endMinuteIntraday=0" htmlTables="1" htmlFormat="all"/>
  </connection>
  <connection id="647" name="Connection774" type="4" refreshedVersion="6" background="1" saveData="1">
    <webPr xl2000="1" url="https://fclm-portal.amazon.com/ppa/inspect/node/csv?nodeType=DS&amp;warehouseId=DDC4&amp;maxIntradayDays=1&amp;spanType=Intraday&amp;startDateIntraday=2020%2F08%2F13&amp;startHourIntraday=9&amp;startMinuteIntraday=0&amp;endDateIntraday=2020%2F08%2F13&amp;endHourIntraday=10&amp;endMinuteIntraday=0" htmlTables="1" htmlFormat="all"/>
  </connection>
  <connection id="648" name="Connection775" type="4" refreshedVersion="6" background="1" saveData="1">
    <webPr xl2000="1" url="https://fclm-portal.amazon.com/ppa/inspect/node/csv?nodeType=DS&amp;warehouseId=DDC4&amp;maxIntradayDays=1&amp;spanType=Intraday&amp;startDateIntraday=2020%2F08%2F13&amp;startHourIntraday=10&amp;startMinuteIntraday=0&amp;endDateIntraday=2020%2F08%2F13&amp;endHourIntraday=11&amp;endMinuteIntraday=0" htmlTables="1" htmlFormat="all"/>
  </connection>
  <connection id="649" name="Connection776" type="4" refreshedVersion="6" background="1" saveData="1">
    <webPr xl2000="1" url="https://fclm-portal.amazon.com/ppa/inspect/node/csv?nodeType=DS&amp;warehouseId=DDC4&amp;maxIntradayDays=1&amp;spanType=Intraday&amp;startDateIntraday=2020%2F08%2F13&amp;startHourIntraday=11&amp;startMinuteIntraday=0&amp;endDateIntraday=2020%2F08%2F13&amp;endHourIntraday=12&amp;endMinuteIntraday=0" htmlTables="1" htmlFormat="all"/>
  </connection>
  <connection id="650" name="Connection777" type="4" refreshedVersion="6" background="1" saveData="1">
    <webPr xl2000="1" url="https://fclm-portal.amazon.com/ppa/inspect/node/csv?nodeType=DS&amp;warehouseId=DDC4&amp;maxIntradayDays=1&amp;spanType=Intraday&amp;startDateIntraday=2020%2F08%2F13&amp;startHourIntraday=12&amp;startMinuteIntraday=0&amp;endDateIntraday=2020%2F08%2F13&amp;endHourIntraday=13&amp;endMinuteIntraday=0" htmlTables="1" htmlFormat="all"/>
  </connection>
  <connection id="651" name="Connection778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652" name="Connection779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653" name="Connection780" type="4" refreshedVersion="6" background="1" saveData="1">
    <webPr xl2000="1" url="https://fclm-portal.amazon.com/ppa/inspect/node/csv?nodeType=DS&amp;warehouseId=DDC4&amp;maxIntradayDays=1&amp;spanType=Intraday&amp;startDateIntraday=2020%2F08%2F13&amp;startHourIntraday=21&amp;startMinuteIntraday=0&amp;endDateIntraday=2020%2F08%2F13&amp;endHourIntraday=22&amp;endMinuteIntraday=0" htmlTables="1" htmlFormat="all"/>
  </connection>
  <connection id="654" name="Connection781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655" name="Connection782" type="4" refreshedVersion="6" background="1" saveData="1">
    <webPr xl2000="1" url="https://fclm-portal.amazon.com/ppa/inspect/node/csv?nodeType=DS&amp;warehouseId=DDC4&amp;maxIntradayDays=1&amp;spanType=Intraday&amp;startDateIntraday=2020%2F08%2F13&amp;startHourIntraday=19&amp;startMinuteIntraday=0&amp;endDateIntraday=2020%2F08%2F13&amp;endHourIntraday=20&amp;endMinuteIntraday=0" htmlTables="1" htmlFormat="all"/>
  </connection>
  <connection id="656" name="Connection783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657" name="Connection784" type="4" refreshedVersion="6" background="1" saveData="1">
    <webPr xl2000="1" url="https://fclm-portal.amazon.com/ppa/inspect/node/csv?nodeType=DS&amp;warehouseId=DDC4&amp;maxIntradayDays=1&amp;spanType=Intraday&amp;startDateIntraday=2020%2F08%2F13&amp;startHourIntraday=22&amp;startMinuteIntraday=0&amp;endDateIntraday=2020%2F08%2F13&amp;endHourIntraday=23&amp;endMinuteIntraday=0" htmlTables="1" htmlFormat="all"/>
  </connection>
  <connection id="658" name="Connection785" type="4" refreshedVersion="6" background="1" saveData="1">
    <webPr xl2000="1" url="https://fclm-portal.amazon.com/ppa/inspect/node/csv?nodeType=DS&amp;warehouseId=DDC4&amp;maxIntradayDays=1&amp;spanType=Intraday&amp;startDateIntraday=2020%2F08%2F04&amp;startHourIntraday=6&amp;startMinuteIntraday=0&amp;endDateIntraday=2020%2F08%2F04&amp;endHourIntraday=7&amp;endMinuteIntraday=0" htmlTables="1" htmlFormat="all"/>
  </connection>
  <connection id="659" name="Connection786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660" name="Connection787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661" name="Connection788" type="4" refreshedVersion="6" background="1" saveData="1">
    <webPr xl2000="1" url="https://fclm-portal.amazon.com/ppa/inspect/node/csv?nodeType=DS&amp;warehouseId=DDC4&amp;maxIntradayDays=1&amp;spanType=Intraday&amp;startDateIntraday=2020%2F08%2F13&amp;startHourIntraday=13&amp;startMinuteIntraday=0&amp;endDateIntraday=2020%2F08%2F13&amp;endHourIntraday=14&amp;endMinuteIntraday=0" htmlTables="1" htmlFormat="all"/>
  </connection>
  <connection id="662" name="Connection789" type="4" refreshedVersion="6" background="1" saveData="1">
    <webPr xl2000="1" url="https://fclm-portal.amazon.com/ppa/inspect/node/csv?nodeType=DS&amp;warehouseId=DDC4&amp;maxIntradayDays=1&amp;spanType=Intraday&amp;startDateIntraday=2020%2F08%2F13&amp;startHourIntraday=12&amp;startMinuteIntraday=0&amp;endDateIntraday=2020%2F08%2F13&amp;endHourIntraday=13&amp;endMinuteIntraday=0" htmlTables="1" htmlFormat="all"/>
  </connection>
  <connection id="663" name="Connection79" type="4" refreshedVersion="6" background="1" saveData="1">
    <webPr xl2000="1" url="https://fclm-portal.amazon.com/ppa/inspect/node/csv?nodeType=DS&amp;warehouseId=DPD1&amp;maxIntradayDays=1&amp;spanType=Intraday&amp;startDateIntraday=2020%2F04%2F18&amp;startHourIntraday=22&amp;startMinuteIntraday=0&amp;endDateIntraday=2020%2F04%2F18&amp;endHourIntraday=23&amp;endMinuteIntraday=0" htmlTables="1" htmlFormat="all"/>
  </connection>
  <connection id="664" name="Connection790" type="4" refreshedVersion="6" background="1" saveData="1">
    <webPr xl2000="1" url="https://fclm-portal.amazon.com/ppa/inspect/node/csv?nodeType=DS&amp;warehouseId=DDC4&amp;maxIntradayDays=1&amp;spanType=Intraday&amp;startDateIntraday=2020%2F08%2F13&amp;startHourIntraday=11&amp;startMinuteIntraday=0&amp;endDateIntraday=2020%2F08%2F13&amp;endHourIntraday=12&amp;endMinuteIntraday=0" htmlTables="1" htmlFormat="all"/>
  </connection>
  <connection id="665" name="Connection791" type="4" refreshedVersion="6" background="1" saveData="1">
    <webPr xl2000="1" url="https://fclm-portal.amazon.com/ppa/inspect/node/csv?nodeType=DS&amp;warehouseId=DDC4&amp;maxIntradayDays=1&amp;spanType=Intraday&amp;startDateIntraday=2020%2F08%2F12&amp;startHourIntraday=18&amp;startMinuteIntraday=0&amp;endDateIntraday=2020%2F08%2F12&amp;endHourIntraday=19&amp;endMinuteIntraday=0" htmlTables="1" htmlFormat="all"/>
  </connection>
  <connection id="666" name="Connection792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667" name="Connection793" type="4" refreshedVersion="6" background="1" saveData="1">
    <webPr xl2000="1" url="https://fclm-portal.amazon.com/ppa/inspect/node/csv?nodeType=DS&amp;warehouseId=DDC4&amp;maxIntradayDays=1&amp;spanType=Intraday&amp;startDateIntraday=2020%2F08%2F13&amp;startHourIntraday=17&amp;startMinuteIntraday=0&amp;endDateIntraday=2020%2F08%2F13&amp;endHourIntraday=18&amp;endMinuteIntraday=0" htmlTables="1" htmlFormat="all"/>
  </connection>
  <connection id="668" name="Connection794" type="4" refreshedVersion="6" background="1" saveData="1">
    <webPr xl2000="1" url="https://fclm-portal.amazon.com/ppa/inspect/node/csv?nodeType=DS&amp;warehouseId=DDC4&amp;maxIntradayDays=1&amp;spanType=Intraday&amp;startDateIntraday=2020%2F08%2F13&amp;startHourIntraday=17&amp;startMinuteIntraday=0&amp;endDateIntraday=2020%2F08%2F13&amp;endHourIntraday=18&amp;endMinuteIntraday=0" htmlTables="1" htmlFormat="all"/>
  </connection>
  <connection id="669" name="Connection795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670" name="Connection796" type="4" refreshedVersion="6" background="1" saveData="1">
    <webPr xl2000="1" url="https://fclm-portal.amazon.com/ppa/inspect/node/csv?nodeType=DS&amp;warehouseId=DDC4&amp;maxIntradayDays=1&amp;spanType=Intraday&amp;startDateIntraday=2020%2F08%2F13&amp;startHourIntraday=19&amp;startMinuteIntraday=0&amp;endDateIntraday=2020%2F08%2F13&amp;endHourIntraday=20&amp;endMinuteIntraday=0" htmlTables="1" htmlFormat="all"/>
  </connection>
  <connection id="671" name="Connection797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672" name="Connection798" type="4" refreshedVersion="6" background="1" saveData="1">
    <webPr xl2000="1" url="https://fclm-portal.amazon.com/ppa/inspect/node/csv?nodeType=DS&amp;warehouseId=DDC4&amp;maxIntradayDays=1&amp;spanType=Intraday&amp;startDateIntraday=2020%2F08%2F13&amp;startHourIntraday=21&amp;startMinuteIntraday=0&amp;endDateIntraday=2020%2F08%2F13&amp;endHourIntraday=22&amp;endMinuteIntraday=0" htmlTables="1" htmlFormat="all"/>
  </connection>
  <connection id="673" name="Connection799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674" name="Connection8" type="4" refreshedVersion="6" background="1" saveData="1">
    <webPr xl2000="1" url="https://fclm-portal.amazon.com/ppa/inspect/node/csv?nodeType=DS&amp;warehouseId=DPD1&amp;maxIntradayDays=1&amp;spanType=Intraday&amp;startDateIntraday=2020%2F04%2F15&amp;startHourIntraday=6&amp;startMinuteIntraday=0&amp;endDateIntraday=2020%2F04%2F15&amp;endHourIntraday=7&amp;endMinuteIntraday=0" htmlTables="1" htmlFormat="all"/>
  </connection>
  <connection id="675" name="Connection800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676" name="Connection801" type="4" refreshedVersion="6" background="1" saveData="1">
    <webPr xl2000="1" url="https://fclm-portal.amazon.com/ppa/inspect/node/csv?nodeType=DS&amp;warehouseId=DDC4&amp;maxIntradayDays=1&amp;spanType=Intraday&amp;startDateIntraday=2020%2F08%2F13&amp;startHourIntraday=17&amp;startMinuteIntraday=0&amp;endDateIntraday=2020%2F08%2F13&amp;endHourIntraday=18&amp;endMinuteIntraday=0" htmlTables="1" htmlFormat="all"/>
  </connection>
  <connection id="677" name="Connection802" type="4" refreshedVersion="6" background="1" saveData="1">
    <webPr xl2000="1" url="https://fclm-portal.amazon.com/ppa/inspect/node/csv?nodeType=DS&amp;warehouseId=DDC4&amp;maxIntradayDays=1&amp;spanType=Intraday&amp;startDateIntraday=2020%2F08%2F13&amp;startHourIntraday=1&amp;startMinuteIntraday=0&amp;endDateIntraday=2020%2F08%2F13&amp;endHourIntraday=2&amp;endMinuteIntraday=0" htmlTables="1" htmlFormat="all"/>
  </connection>
  <connection id="678" name="Connection803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679" name="Connection804" type="4" refreshedVersion="6" background="1" saveData="1">
    <webPr xl2000="1" url="https://fclm-portal.amazon.com/ppa/inspect/node/csv?nodeType=DS&amp;warehouseId=DDC4&amp;maxIntradayDays=1&amp;spanType=Intraday&amp;startDateIntraday=2020%2F08%2F13&amp;startHourIntraday=17&amp;startMinuteIntraday=0&amp;endDateIntraday=2020%2F08%2F13&amp;endHourIntraday=18&amp;endMinuteIntraday=0" htmlTables="1" htmlFormat="all"/>
  </connection>
  <connection id="680" name="Connection805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681" name="Connection806" type="4" refreshedVersion="6" background="1" saveData="1">
    <webPr xl2000="1" url="https://fclm-portal.amazon.com/ppa/inspect/node/csv?nodeType=DS&amp;warehouseId=DDC4&amp;maxIntradayDays=1&amp;spanType=Intraday&amp;startDateIntraday=2020%2F08%2F13&amp;startHourIntraday=19&amp;startMinuteIntraday=0&amp;endDateIntraday=2020%2F08%2F13&amp;endHourIntraday=20&amp;endMinuteIntraday=0" htmlTables="1" htmlFormat="all"/>
  </connection>
  <connection id="682" name="Connection807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683" name="Connection808" type="4" refreshedVersion="6" background="1" saveData="1">
    <webPr xl2000="1" url="https://fclm-portal.amazon.com/ppa/inspect/node/csv?nodeType=DS&amp;warehouseId=DDC4&amp;maxIntradayDays=1&amp;spanType=Intraday&amp;startDateIntraday=2020%2F08%2F13&amp;startHourIntraday=21&amp;startMinuteIntraday=0&amp;endDateIntraday=2020%2F08%2F13&amp;endHourIntraday=22&amp;endMinuteIntraday=0" htmlTables="1" htmlFormat="all"/>
  </connection>
  <connection id="684" name="Connection809" type="4" refreshedVersion="6" background="1" saveData="1">
    <webPr xl2000="1" url="https://fclm-portal.amazon.com/ppa/inspect/node/csv?nodeType=DS&amp;warehouseId=DDC4&amp;maxIntradayDays=1&amp;spanType=Intraday&amp;startDateIntraday=2020%2F08%2F13&amp;startHourIntraday=17&amp;startMinuteIntraday=0&amp;endDateIntraday=2020%2F08%2F13&amp;endHourIntraday=18&amp;endMinuteIntraday=0" htmlTables="1" htmlFormat="all"/>
  </connection>
  <connection id="685" name="Connection81" type="4" refreshedVersion="6" background="1" saveData="1">
    <webPr xl2000="1" url="https://fclm-portal.amazon.com/ppa/inspect/node/csv?nodeType=DS&amp;warehouseId=DPD1&amp;maxIntradayDays=1&amp;spanType=Intraday&amp;startDateIntraday=2020%2F04%2F18&amp;startHourIntraday=22&amp;startMinuteIntraday=0&amp;endDateIntraday=2020%2F04%2F18&amp;endHourIntraday=23&amp;endMinuteIntraday=0" htmlTables="1" htmlFormat="all"/>
  </connection>
  <connection id="686" name="Connection810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687" name="Connection811" type="4" refreshedVersion="6" background="1" saveData="1">
    <webPr xl2000="1" url="https://fclm-portal.amazon.com/ppa/inspect/node/csv?nodeType=DS&amp;warehouseId=DDC4&amp;maxIntradayDays=1&amp;spanType=Intraday&amp;startDateIntraday=2020%2F08%2F13&amp;startHourIntraday=19&amp;startMinuteIntraday=0&amp;endDateIntraday=2020%2F08%2F13&amp;endHourIntraday=20&amp;endMinuteIntraday=0" htmlTables="1" htmlFormat="all"/>
  </connection>
  <connection id="688" name="Connection812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689" name="Connection813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690" name="Connection814" type="4" refreshedVersion="6" background="1" saveData="1">
    <webPr xl2000="1" url="https://fclm-portal.amazon.com/ppa/inspect/node/csv?nodeType=DS&amp;warehouseId=DDC4&amp;maxIntradayDays=1&amp;spanType=Intraday&amp;startDateIntraday=2020%2F08%2F13&amp;startHourIntraday=22&amp;startMinuteIntraday=0&amp;endDateIntraday=2020%2F08%2F13&amp;endHourIntraday=23&amp;endMinuteIntraday=0" htmlTables="1" htmlFormat="all"/>
  </connection>
  <connection id="691" name="Connection815" type="4" refreshedVersion="6" background="1" saveData="1">
    <webPr xl2000="1" url="https://fclm-portal.amazon.com/ppa/inspect/node/csv?nodeType=DS&amp;warehouseId=DDC4&amp;maxIntradayDays=1&amp;spanType=Intraday&amp;startDateIntraday=2020%2F08%2F13&amp;startHourIntraday=21&amp;startMinuteIntraday=0&amp;endDateIntraday=2020%2F08%2F13&amp;endHourIntraday=22&amp;endMinuteIntraday=0" htmlTables="1" htmlFormat="all"/>
  </connection>
  <connection id="692" name="Connection816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693" name="Connection817" type="4" refreshedVersion="6" background="1" saveData="1">
    <webPr xl2000="1" url="https://fclm-portal.amazon.com/ppa/inspect/node/csv?nodeType=DS&amp;warehouseId=DDC4&amp;maxIntradayDays=1&amp;spanType=Intraday&amp;startDateIntraday=2020%2F08%2F04&amp;startHourIntraday=4&amp;startMinuteIntraday=0&amp;endDateIntraday=2020%2F08%2F04&amp;endHourIntraday=5&amp;endMinuteIntraday=0" htmlTables="1" htmlFormat="all"/>
  </connection>
  <connection id="694" name="Connection818" type="4" refreshedVersion="6" background="1" saveData="1">
    <webPr xl2000="1" url="https://fclm-portal.amazon.com/ppa/inspect/node/csv?nodeType=DS&amp;warehouseId=DDC4&amp;maxIntradayDays=1&amp;spanType=Intraday&amp;startDateIntraday=2020%2F08%2F04&amp;startHourIntraday=5&amp;startMinuteIntraday=0&amp;endDateIntraday=2020%2F08%2F04&amp;endHourIntraday=6&amp;endMinuteIntraday=0" htmlTables="1" htmlFormat="all"/>
  </connection>
  <connection id="695" name="Connection819" type="4" refreshedVersion="6" background="1" saveData="1">
    <webPr xl2000="1" url="https://fclm-portal.amazon.com/ppa/inspect/node/csv?nodeType=DS&amp;warehouseId=DDC4&amp;maxIntradayDays=1&amp;spanType=Intraday&amp;startDateIntraday=2020%2F08%2F13&amp;startHourIntraday=6&amp;startMinuteIntraday=0&amp;endDateIntraday=2020%2F08%2F13&amp;endHourIntraday=7&amp;endMinuteIntraday=0" htmlTables="1" htmlFormat="all"/>
  </connection>
  <connection id="696" name="Connection820" type="4" refreshedVersion="6" background="1" saveData="1">
    <webPr xl2000="1" url="https://fclm-portal.amazon.com/ppa/inspect/node/csv?nodeType=DS&amp;warehouseId=DDC4&amp;maxIntradayDays=1&amp;spanType=Intraday&amp;startDateIntraday=2020%2F08%2F13&amp;startHourIntraday=6&amp;startMinuteIntraday=0&amp;endDateIntraday=2020%2F08%2F13&amp;endHourIntraday=7&amp;endMinuteIntraday=0" htmlTables="1" htmlFormat="all"/>
  </connection>
  <connection id="697" name="Connection821" type="4" refreshedVersion="6" background="1" saveData="1">
    <webPr xl2000="1" url="https://fclm-portal.amazon.com/ppa/inspect/node/csv?nodeType=DS&amp;warehouseId=DDC4&amp;maxIntradayDays=1&amp;spanType=Intraday&amp;startDateIntraday=2020%2F08%2F13&amp;startHourIntraday=7&amp;startMinuteIntraday=0&amp;endDateIntraday=2020%2F08%2F13&amp;endHourIntraday=8&amp;endMinuteIntraday=0" htmlTables="1" htmlFormat="all"/>
  </connection>
  <connection id="698" name="Connection822" type="4" refreshedVersion="6" background="1" saveData="1">
    <webPr xl2000="1" url="https://fclm-portal.amazon.com/ppa/inspect/node/csv?nodeType=DS&amp;warehouseId=DDC4&amp;maxIntradayDays=1&amp;spanType=Intraday&amp;startDateIntraday=2020%2F08%2F13&amp;startHourIntraday=8&amp;startMinuteIntraday=0&amp;endDateIntraday=2020%2F08%2F13&amp;endHourIntraday=9&amp;endMinuteIntraday=0" htmlTables="1" htmlFormat="all"/>
  </connection>
  <connection id="699" name="Connection823" type="4" refreshedVersion="6" background="1" saveData="1">
    <webPr xl2000="1" url="https://fclm-portal.amazon.com/ppa/inspect/node/csv?nodeType=DS&amp;warehouseId=DDC4&amp;maxIntradayDays=1&amp;spanType=Intraday&amp;startDateIntraday=2020%2F08%2F13&amp;startHourIntraday=9&amp;startMinuteIntraday=0&amp;endDateIntraday=2020%2F08%2F13&amp;endHourIntraday=10&amp;endMinuteIntraday=0" htmlTables="1" htmlFormat="all"/>
  </connection>
  <connection id="700" name="Connection824" type="4" refreshedVersion="6" background="1" saveData="1">
    <webPr xl2000="1" url="https://fclm-portal.amazon.com/ppa/inspect/node/csv?nodeType=DS&amp;warehouseId=DDC4&amp;maxIntradayDays=1&amp;spanType=Intraday&amp;startDateIntraday=2020%2F08%2F13&amp;startHourIntraday=10&amp;startMinuteIntraday=0&amp;endDateIntraday=2020%2F08%2F13&amp;endHourIntraday=11&amp;endMinuteIntraday=0" htmlTables="1" htmlFormat="all"/>
  </connection>
  <connection id="701" name="Connection825" type="4" refreshedVersion="6" background="1" saveData="1">
    <webPr xl2000="1" url="https://fclm-portal.amazon.com/ppa/inspect/node/csv?nodeType=DS&amp;warehouseId=DDC4&amp;maxIntradayDays=1&amp;spanType=Intraday&amp;startDateIntraday=2020%2F08%2F13&amp;startHourIntraday=11&amp;startMinuteIntraday=0&amp;endDateIntraday=2020%2F08%2F13&amp;endHourIntraday=12&amp;endMinuteIntraday=0" htmlTables="1" htmlFormat="all"/>
  </connection>
  <connection id="702" name="Connection826" type="4" refreshedVersion="6" background="1" saveData="1">
    <webPr xl2000="1" url="https://fclm-portal.amazon.com/ppa/inspect/node/csv?nodeType=DS&amp;warehouseId=DDC4&amp;maxIntradayDays=1&amp;spanType=Intraday&amp;startDateIntraday=2020%2F08%2F13&amp;startHourIntraday=12&amp;startMinuteIntraday=0&amp;endDateIntraday=2020%2F08%2F13&amp;endHourIntraday=13&amp;endMinuteIntraday=0" htmlTables="1" htmlFormat="all"/>
  </connection>
  <connection id="703" name="Connection827" type="4" refreshedVersion="6" background="1" saveData="1">
    <webPr xl2000="1" url="https://fclm-portal.amazon.com/ppa/inspect/node/csv?nodeType=DS&amp;warehouseId=DDC4&amp;maxIntradayDays=1&amp;spanType=Intraday&amp;startDateIntraday=2020%2F08%2F13&amp;startHourIntraday=13&amp;startMinuteIntraday=0&amp;endDateIntraday=2020%2F08%2F13&amp;endHourIntraday=14&amp;endMinuteIntraday=0" htmlTables="1" htmlFormat="all"/>
  </connection>
  <connection id="704" name="Connection828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705" name="Connection829" type="4" refreshedVersion="6" background="1" saveData="1">
    <webPr xl2000="1" url="https://fclm-portal.amazon.com/ppa/inspect/node/csv?nodeType=DS&amp;warehouseId=DDC4&amp;maxIntradayDays=1&amp;spanType=Intraday&amp;startDateIntraday=2020%2F08%2F13&amp;startHourIntraday=17&amp;startMinuteIntraday=0&amp;endDateIntraday=2020%2F08%2F13&amp;endHourIntraday=18&amp;endMinuteIntraday=0" htmlTables="1" htmlFormat="all"/>
  </connection>
  <connection id="706" name="Connection83" type="4" refreshedVersion="6" background="1" saveData="1">
    <webPr xl2000="1" url="https://fclm-portal.amazon.com/ppa/inspect/node/csv?nodeType=DS&amp;warehouseId=DPD1&amp;maxIntradayDays=1&amp;spanType=Intraday&amp;startDateIntraday=2020%2F04%2F18&amp;startHourIntraday=23&amp;startMinuteIntraday=0&amp;endDateIntraday=2020%2F04%2F19&amp;endHourIntraday=0&amp;endMinuteIntraday=0" htmlTables="1" htmlFormat="all"/>
  </connection>
  <connection id="707" name="Connection830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708" name="Connection831" type="4" refreshedVersion="6" background="1" saveData="1">
    <webPr xl2000="1" url="https://fclm-portal.amazon.com/ppa/inspect/node/csv?nodeType=DS&amp;warehouseId=DDC4&amp;maxIntradayDays=1&amp;spanType=Intraday&amp;startDateIntraday=2020%2F08%2F13&amp;startHourIntraday=19&amp;startMinuteIntraday=0&amp;endDateIntraday=2020%2F08%2F13&amp;endHourIntraday=20&amp;endMinuteIntraday=0" htmlTables="1" htmlFormat="all"/>
  </connection>
  <connection id="709" name="Connection832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710" name="Connection833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711" name="Connection834" type="4" refreshedVersion="6" background="1" saveData="1">
    <webPr xl2000="1" url="https://fclm-portal.amazon.com/ppa/inspect/node/csv?nodeType=DS&amp;warehouseId=DDC4&amp;maxIntradayDays=1&amp;spanType=Intraday&amp;startDateIntraday=2020%2F08%2F13&amp;startHourIntraday=17&amp;startMinuteIntraday=0&amp;endDateIntraday=2020%2F08%2F13&amp;endHourIntraday=18&amp;endMinuteIntraday=0" htmlTables="1" htmlFormat="all"/>
  </connection>
  <connection id="712" name="Connection835" type="4" refreshedVersion="6" background="1" saveData="1">
    <webPr xl2000="1" url="https://fclm-portal.amazon.com/ppa/inspect/node/csv?nodeType=DS&amp;warehouseId=DDC4&amp;maxIntradayDays=1&amp;spanType=Intraday&amp;startDateIntraday=2020%2F08%2F13&amp;startHourIntraday=18&amp;startMinuteIntraday=0&amp;endDateIntraday=2020%2F08%2F13&amp;endHourIntraday=19&amp;endMinuteIntraday=0" htmlTables="1" htmlFormat="all"/>
  </connection>
  <connection id="713" name="Connection836" type="4" refreshedVersion="6" background="1" saveData="1">
    <webPr xl2000="1" url="https://fclm-portal.amazon.com/ppa/inspect/node/csv?nodeType=DS&amp;warehouseId=DDC4&amp;maxIntradayDays=1&amp;spanType=Intraday&amp;startDateIntraday=2020%2F08%2F13&amp;startHourIntraday=19&amp;startMinuteIntraday=0&amp;endDateIntraday=2020%2F08%2F13&amp;endHourIntraday=20&amp;endMinuteIntraday=0" htmlTables="1" htmlFormat="all"/>
  </connection>
  <connection id="714" name="Connection837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715" name="Connection838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716" name="Connection839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717" name="Connection840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718" name="Connection841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719" name="Connection842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720" name="Connection843" type="4" refreshedVersion="6" background="1" saveData="1">
    <webPr xl2000="1" url="https://fclm-portal.amazon.com/ppa/inspect/node/csv?nodeType=DS&amp;warehouseId=DDC4&amp;maxIntradayDays=1&amp;spanType=Intraday&amp;startDateIntraday=2020%2F08%2F13&amp;startHourIntraday=6&amp;startMinuteIntraday=0&amp;endDateIntraday=2020%2F08%2F13&amp;endHourIntraday=7&amp;endMinuteIntraday=0" htmlTables="1" htmlFormat="all"/>
  </connection>
  <connection id="721" name="Connection844" type="4" refreshedVersion="6" background="1" saveData="1">
    <webPr xl2000="1" url="https://fclm-portal.amazon.com/ppa/inspect/node/csv?nodeType=DS&amp;warehouseId=DDC4&amp;maxIntradayDays=1&amp;spanType=Intraday&amp;startDateIntraday=2020%2F08%2F13&amp;startHourIntraday=7&amp;startMinuteIntraday=0&amp;endDateIntraday=2020%2F08%2F13&amp;endHourIntraday=8&amp;endMinuteIntraday=0" htmlTables="1" htmlFormat="all"/>
  </connection>
  <connection id="722" name="Connection845" type="4" refreshedVersion="6" background="1" saveData="1">
    <webPr xl2000="1" url="https://fclm-portal.amazon.com/ppa/inspect/node/csv?nodeType=DS&amp;warehouseId=DDC4&amp;maxIntradayDays=1&amp;spanType=Intraday&amp;startDateIntraday=2020%2F08%2F13&amp;startHourIntraday=8&amp;startMinuteIntraday=0&amp;endDateIntraday=2020%2F08%2F13&amp;endHourIntraday=9&amp;endMinuteIntraday=0" htmlTables="1" htmlFormat="all"/>
  </connection>
  <connection id="723" name="Connection846" type="4" refreshedVersion="6" background="1" saveData="1">
    <webPr xl2000="1" url="https://fclm-portal.amazon.com/ppa/inspect/node/csv?nodeType=DS&amp;warehouseId=DDC4&amp;maxIntradayDays=1&amp;spanType=Intraday&amp;startDateIntraday=2020%2F08%2F13&amp;startHourIntraday=11&amp;startMinuteIntraday=0&amp;endDateIntraday=2020%2F08%2F13&amp;endHourIntraday=12&amp;endMinuteIntraday=0" htmlTables="1" htmlFormat="all"/>
  </connection>
  <connection id="724" name="Connection847" type="4" refreshedVersion="6" background="1" saveData="1">
    <webPr xl2000="1" url="https://fclm-portal.amazon.com/ppa/inspect/node/csv?nodeType=DS&amp;warehouseId=DDC4&amp;maxIntradayDays=1&amp;spanType=Intraday&amp;startDateIntraday=2020%2F08%2F21&amp;startHourIntraday=9&amp;startMinuteIntraday=0&amp;endDateIntraday=2020%2F08%2F21&amp;endHourIntraday=10&amp;endMinuteIntraday=0" htmlTables="1" htmlFormat="all"/>
  </connection>
  <connection id="725" name="Connection848" type="4" refreshedVersion="6" background="1" saveData="1">
    <webPr xl2000="1" url="https://fclm-portal.amazon.com/ppa/inspect/node/csv?nodeType=DS&amp;warehouseId=DDC4&amp;maxIntradayDays=1&amp;spanType=Intraday&amp;startDateIntraday=2020%2F08%2F21&amp;startHourIntraday=10&amp;startMinuteIntraday=0&amp;endDateIntraday=2020%2F08%2F21&amp;endHourIntraday=11&amp;endMinuteIntraday=0" htmlTables="1" htmlFormat="all"/>
  </connection>
  <connection id="726" name="Connection849" type="4" refreshedVersion="6" background="1" saveData="1">
    <webPr xl2000="1" url="https://fclm-portal.amazon.com/ppa/inspect/node/csv?nodeType=DS&amp;warehouseId=DDC4&amp;maxIntradayDays=1&amp;spanType=Intraday&amp;startDateIntraday=2020%2F08%2F13&amp;startHourIntraday=16&amp;startMinuteIntraday=0&amp;endDateIntraday=2020%2F08%2F13&amp;endHourIntraday=17&amp;endMinuteIntraday=0" htmlTables="1" htmlFormat="all"/>
  </connection>
  <connection id="727" name="Connection85" type="4" refreshedVersion="6" background="1" saveData="1">
    <webPr xl2000="1" url="https://fclm-portal.amazon.com/ppa/inspect/node/csv?nodeType=DS&amp;warehouseId=DPD1&amp;maxIntradayDays=1&amp;spanType=Intraday&amp;startDateIntraday=2020%2F04%2F19&amp;startHourIntraday=3&amp;startMinuteIntraday=0&amp;endDateIntraday=2020%2F04%2F19&amp;endHourIntraday=4&amp;endMinuteIntraday=0" htmlTables="1" htmlFormat="all"/>
  </connection>
  <connection id="728" name="Connection850" type="4" refreshedVersion="6" background="1" saveData="1">
    <webPr xl2000="1" url="https://fclm-portal.amazon.com/ppa/inspect/node/csv?nodeType=DS&amp;warehouseId=DDC4&amp;maxIntradayDays=1&amp;spanType=Intraday&amp;startDateIntraday=2020%2F09%2F01&amp;startHourIntraday=16&amp;startMinuteIntraday=0&amp;endDateIntraday=2020%2F09%2F01&amp;endHourIntraday=17&amp;endMinuteIntraday=0" htmlTables="1" htmlFormat="all"/>
  </connection>
  <connection id="729" name="Connection851" type="4" refreshedVersion="6" background="1" saveData="1">
    <webPr xl2000="1" url="https://fclm-portal.amazon.com/ppa/inspect/node/csv?nodeType=DS&amp;warehouseId=DDC4&amp;maxIntradayDays=1&amp;spanType=Intraday&amp;startDateIntraday=2020%2F09%2F01&amp;startHourIntraday=18&amp;startMinuteIntraday=0&amp;endDateIntraday=2020%2F09%2F01&amp;endHourIntraday=19&amp;endMinuteIntraday=0" htmlTables="1" htmlFormat="all"/>
  </connection>
  <connection id="730" name="Connection852" type="4" refreshedVersion="6" background="1" saveData="1">
    <webPr xl2000="1" url="https://fclm-portal.amazon.com/ppa/inspect/node/csv?nodeType=DS&amp;warehouseId=DDC4&amp;maxIntradayDays=1&amp;spanType=Intraday&amp;startDateIntraday=2020%2F09%2F04&amp;startHourIntraday=7&amp;startMinuteIntraday=0&amp;endDateIntraday=2020%2F09%2F04&amp;endHourIntraday=8&amp;endMinuteIntraday=0" htmlTables="1" htmlFormat="all"/>
  </connection>
  <connection id="731" name="Connection853" type="4" refreshedVersion="6" background="1" saveData="1">
    <webPr xl2000="1" url="https://fclm-portal.amazon.com/ppa/inspect/node/csv?nodeType=DS&amp;warehouseId=DDC4&amp;maxIntradayDays=1&amp;spanType=Intraday&amp;startDateIntraday=2020%2F09%2F04&amp;startHourIntraday=8&amp;startMinuteIntraday=0&amp;endDateIntraday=2020%2F09%2F04&amp;endHourIntraday=9&amp;endMinuteIntraday=0" htmlTables="1" htmlFormat="all"/>
  </connection>
  <connection id="732" name="Connection854" type="4" refreshedVersion="6" background="1" saveData="1">
    <webPr xl2000="1" url="https://fclm-portal.amazon.com/ppa/inspect/node/csv?nodeType=DS&amp;warehouseId=DDC4&amp;maxIntradayDays=1&amp;spanType=Intraday&amp;startDateIntraday=2020%2F08%2F21&amp;startHourIntraday=10&amp;startMinuteIntraday=0&amp;endDateIntraday=2020%2F08%2F21&amp;endHourIntraday=11&amp;endMinuteIntraday=0" htmlTables="1" htmlFormat="all"/>
  </connection>
  <connection id="733" name="Connection855" type="4" refreshedVersion="6" background="1" saveData="1">
    <webPr xl2000="1" url="https://fclm-portal.amazon.com/ppa/inspect/node/csv?nodeType=DS&amp;warehouseId=DDC4&amp;maxIntradayDays=1&amp;spanType=Intraday&amp;startDateIntraday=2020%2F09%2F01&amp;startHourIntraday=16&amp;startMinuteIntraday=0&amp;endDateIntraday=2020%2F09%2F01&amp;endHourIntraday=17&amp;endMinuteIntraday=0" htmlTables="1" htmlFormat="all"/>
  </connection>
  <connection id="734" name="Connection856" type="4" refreshedVersion="6" background="1" saveData="1">
    <webPr xl2000="1" url="https://fclm-portal.amazon.com/ppa/inspect/node/csv?nodeType=DS&amp;warehouseId=DDC4&amp;maxIntradayDays=1&amp;spanType=Intraday&amp;startDateIntraday=2020%2F09%2F01&amp;startHourIntraday=16&amp;startMinuteIntraday=0&amp;endDateIntraday=2020%2F09%2F01&amp;endHourIntraday=17&amp;endMinuteIntraday=0" htmlTables="1" htmlFormat="all"/>
  </connection>
  <connection id="735" name="Connection857" type="4" refreshedVersion="6" background="1" saveData="1">
    <webPr xl2000="1" url="https://fclm-portal.amazon.com/ppa/inspect/node/csv?nodeType=DS&amp;warehouseId=DDC4&amp;maxIntradayDays=1&amp;spanType=Intraday&amp;startDateIntraday=2020%2F09%2F01&amp;startHourIntraday=17&amp;startMinuteIntraday=0&amp;endDateIntraday=2020%2F09%2F01&amp;endHourIntraday=18&amp;endMinuteIntraday=0" htmlTables="1" htmlFormat="all"/>
  </connection>
  <connection id="736" name="Connection858" type="4" refreshedVersion="6" background="1" saveData="1">
    <webPr xl2000="1" url="https://fclm-portal.amazon.com/ppa/inspect/node/csv?nodeType=DS&amp;warehouseId=DDC4&amp;maxIntradayDays=1&amp;spanType=Intraday&amp;startDateIntraday=2020%2F09%2F01&amp;startHourIntraday=18&amp;startMinuteIntraday=0&amp;endDateIntraday=2020%2F09%2F01&amp;endHourIntraday=19&amp;endMinuteIntraday=0" htmlTables="1" htmlFormat="all"/>
  </connection>
  <connection id="737" name="Connection859" type="4" refreshedVersion="6" background="1" saveData="1">
    <webPr xl2000="1" url="https://fclm-portal.amazon.com/ppa/inspect/node/csv?nodeType=DS&amp;warehouseId=DDC4&amp;maxIntradayDays=1&amp;spanType=Intraday&amp;startDateIntraday=2020%2F09%2F01&amp;startHourIntraday=19&amp;startMinuteIntraday=0&amp;endDateIntraday=2020%2F09%2F01&amp;endHourIntraday=20&amp;endMinuteIntraday=0" htmlTables="1" htmlFormat="all"/>
  </connection>
  <connection id="738" name="Connection860" type="4" refreshedVersion="6" background="1" saveData="1">
    <webPr xl2000="1" url="https://fclm-portal.amazon.com/ppa/inspect/node/csv?nodeType=DS&amp;warehouseId=DDC4&amp;maxIntradayDays=1&amp;spanType=Intraday&amp;startDateIntraday=2020%2F09%2F01&amp;startHourIntraday=20&amp;startMinuteIntraday=0&amp;endDateIntraday=2020%2F09%2F01&amp;endHourIntraday=21&amp;endMinuteIntraday=0" htmlTables="1" htmlFormat="all"/>
  </connection>
  <connection id="739" name="Connection861" type="4" refreshedVersion="6" background="1" saveData="1">
    <webPr xl2000="1" url="https://fclm-portal.amazon.com/ppa/inspect/node/csv?nodeType=DS&amp;warehouseId=DDC4&amp;maxIntradayDays=1&amp;spanType=Intraday&amp;startDateIntraday=2020%2F09%2F01&amp;startHourIntraday=16&amp;startMinuteIntraday=0&amp;endDateIntraday=2020%2F09%2F01&amp;endHourIntraday=17&amp;endMinuteIntraday=0" htmlTables="1" htmlFormat="all"/>
  </connection>
  <connection id="740" name="Connection862" type="4" refreshedVersion="6" background="1" saveData="1">
    <webPr xl2000="1" url="https://fclm-portal.amazon.com/ppa/inspect/node/csv?nodeType=DS&amp;warehouseId=DDC4&amp;maxIntradayDays=1&amp;spanType=Intraday&amp;startDateIntraday=2020%2F09%2F01&amp;startHourIntraday=17&amp;startMinuteIntraday=0&amp;endDateIntraday=2020%2F09%2F01&amp;endHourIntraday=18&amp;endMinuteIntraday=0" htmlTables="1" htmlFormat="all"/>
  </connection>
  <connection id="741" name="Connection863" type="4" refreshedVersion="6" background="1" saveData="1">
    <webPr xl2000="1" url="https://fclm-portal.amazon.com/ppa/inspect/node/csv?nodeType=DS&amp;warehouseId=DDC4&amp;maxIntradayDays=1&amp;spanType=Intraday&amp;startDateIntraday=2020%2F09%2F01&amp;startHourIntraday=18&amp;startMinuteIntraday=0&amp;endDateIntraday=2020%2F09%2F01&amp;endHourIntraday=19&amp;endMinuteIntraday=0" htmlTables="1" htmlFormat="all"/>
  </connection>
  <connection id="742" name="Connection864" type="4" refreshedVersion="6" background="1" saveData="1">
    <webPr xl2000="1" url="https://fclm-portal.amazon.com/ppa/inspect/node/csv?nodeType=DS&amp;warehouseId=DDC4&amp;maxIntradayDays=1&amp;spanType=Intraday&amp;startDateIntraday=2020%2F09%2F01&amp;startHourIntraday=19&amp;startMinuteIntraday=0&amp;endDateIntraday=2020%2F09%2F01&amp;endHourIntraday=20&amp;endMinuteIntraday=0" htmlTables="1" htmlFormat="all"/>
  </connection>
  <connection id="743" name="Connection865" type="4" refreshedVersion="6" background="1" saveData="1">
    <webPr xl2000="1" url="https://fclm-portal.amazon.com/ppa/inspect/node/csv?nodeType=DS&amp;warehouseId=DDC4&amp;maxIntradayDays=1&amp;spanType=Intraday&amp;startDateIntraday=2020%2F09%2F01&amp;startHourIntraday=20&amp;startMinuteIntraday=0&amp;endDateIntraday=2020%2F09%2F01&amp;endHourIntraday=21&amp;endMinuteIntraday=0" htmlTables="1" htmlFormat="all"/>
  </connection>
  <connection id="744" name="Connection866" type="4" refreshedVersion="6" background="1" saveData="1">
    <webPr xl2000="1" url="https://fclm-portal.amazon.com/ppa/inspect/node/csv?nodeType=DS&amp;warehouseId=DDC4&amp;maxIntradayDays=1&amp;spanType=Intraday&amp;startDateIntraday=2020%2F09%2F01&amp;startHourIntraday=16&amp;startMinuteIntraday=0&amp;endDateIntraday=2020%2F09%2F01&amp;endHourIntraday=17&amp;endMinuteIntraday=0" htmlTables="1" htmlFormat="all"/>
  </connection>
  <connection id="745" name="Connection867" type="4" refreshedVersion="6" background="1" saveData="1">
    <webPr xl2000="1" url="https://fclm-portal.amazon.com/ppa/inspect/node/csv?nodeType=DS&amp;warehouseId=DDC4&amp;maxIntradayDays=1&amp;spanType=Intraday&amp;startDateIntraday=2020%2F09%2F01&amp;startHourIntraday=16&amp;startMinuteIntraday=0&amp;endDateIntraday=2020%2F09%2F01&amp;endHourIntraday=17&amp;endMinuteIntraday=0" htmlTables="1" htmlFormat="all"/>
  </connection>
  <connection id="746" name="Connection868" type="4" refreshedVersion="6" background="1" saveData="1">
    <webPr xl2000="1" url="https://fclm-portal.amazon.com/ppa/inspect/node/csv?nodeType=DS&amp;warehouseId=DDC4&amp;maxIntradayDays=1&amp;spanType=Intraday&amp;startDateIntraday=2020%2F09%2F01&amp;startHourIntraday=16&amp;startMinuteIntraday=0&amp;endDateIntraday=2020%2F09%2F01&amp;endHourIntraday=17&amp;endMinuteIntraday=0" htmlTables="1" htmlFormat="all"/>
  </connection>
  <connection id="747" name="Connection869" type="4" refreshedVersion="6" background="1" saveData="1">
    <webPr xl2000="1" url="https://fclm-portal.amazon.com/ppa/inspect/node/csv?nodeType=DS&amp;warehouseId=DDC4&amp;maxIntradayDays=1&amp;spanType=Intraday&amp;startDateIntraday=2020%2F09%2F01&amp;startHourIntraday=17&amp;startMinuteIntraday=0&amp;endDateIntraday=2020%2F09%2F01&amp;endHourIntraday=18&amp;endMinuteIntraday=0" htmlTables="1" htmlFormat="all"/>
  </connection>
  <connection id="748" name="Connection87" type="4" refreshedVersion="6" background="1" saveData="1">
    <webPr xl2000="1" url="https://fclm-portal.amazon.com/ppa/inspect/node/csv?nodeType=DS&amp;warehouseId=DPD1&amp;maxIntradayDays=1&amp;spanType=Intraday&amp;startDateIntraday=2020%2F04%2F19&amp;startHourIntraday=3&amp;startMinuteIntraday=0&amp;endDateIntraday=2020%2F04%2F19&amp;endHourIntraday=4&amp;endMinuteIntraday=0" htmlTables="1" htmlFormat="all"/>
  </connection>
  <connection id="749" name="Connection870" type="4" refreshedVersion="6" background="1" saveData="1">
    <webPr xl2000="1" url="https://fclm-portal.amazon.com/ppa/inspect/node/csv?nodeType=DS&amp;warehouseId=DDC4&amp;maxIntradayDays=1&amp;spanType=Intraday&amp;startDateIntraday=2020%2F09%2F01&amp;startHourIntraday=17&amp;startMinuteIntraday=0&amp;endDateIntraday=2020%2F09%2F01&amp;endHourIntraday=18&amp;endMinuteIntraday=0" htmlTables="1" htmlFormat="all"/>
  </connection>
  <connection id="750" name="Connection871" type="4" refreshedVersion="6" background="1" saveData="1">
    <webPr xl2000="1" url="https://fclm-portal.amazon.com/ppa/inspect/node/csv?nodeType=DS&amp;warehouseId=DDC4&amp;maxIntradayDays=1&amp;spanType=Intraday&amp;startDateIntraday=2020%2F09%2F01&amp;startHourIntraday=18&amp;startMinuteIntraday=0&amp;endDateIntraday=2020%2F09%2F01&amp;endHourIntraday=19&amp;endMinuteIntraday=0" htmlTables="1" htmlFormat="all"/>
  </connection>
  <connection id="751" name="Connection872" type="4" refreshedVersion="6" background="1" saveData="1">
    <webPr xl2000="1" url="https://fclm-portal.amazon.com/ppa/inspect/node/csv?nodeType=DS&amp;warehouseId=DDC4&amp;maxIntradayDays=1&amp;spanType=Intraday&amp;startDateIntraday=2020%2F09%2F01&amp;startHourIntraday=19&amp;startMinuteIntraday=0&amp;endDateIntraday=2020%2F09%2F01&amp;endHourIntraday=20&amp;endMinuteIntraday=0" htmlTables="1" htmlFormat="all"/>
  </connection>
  <connection id="752" name="Connection873" type="4" refreshedVersion="6" background="1" saveData="1">
    <webPr xl2000="1" url="https://fclm-portal.amazon.com/ppa/inspect/node/csv?nodeType=DS&amp;warehouseId=DDC4&amp;maxIntradayDays=1&amp;spanType=Intraday&amp;startDateIntraday=2020%2F09%2F01&amp;startHourIntraday=20&amp;startMinuteIntraday=0&amp;endDateIntraday=2020%2F09%2F01&amp;endHourIntraday=21&amp;endMinuteIntraday=0" htmlTables="1" htmlFormat="all"/>
  </connection>
  <connection id="753" name="Connection874" type="4" refreshedVersion="6" background="1" saveData="1">
    <webPr xl2000="1" url="https://fclm-portal.amazon.com/ppa/inspect/node/csv?nodeType=DS&amp;warehouseId=DDC4&amp;maxIntradayDays=1&amp;spanType=Intraday&amp;startDateIntraday=2020%2F09%2F01&amp;startHourIntraday=21&amp;startMinuteIntraday=0&amp;endDateIntraday=2020%2F09%2F01&amp;endHourIntraday=22&amp;endMinuteIntraday=0" htmlTables="1" htmlFormat="all"/>
  </connection>
  <connection id="754" name="Connection875" type="4" refreshedVersion="6" background="1" saveData="1">
    <webPr xl2000="1" url="https://fclm-portal.amazon.com/ppa/inspect/node/csv?nodeType=DS&amp;warehouseId=DDC4&amp;maxIntradayDays=1&amp;spanType=Intraday&amp;startDateIntraday=2020%2F09%2F01&amp;startHourIntraday=16&amp;startMinuteIntraday=0&amp;endDateIntraday=2020%2F09%2F01&amp;endHourIntraday=17&amp;endMinuteIntraday=0" htmlTables="1" htmlFormat="all"/>
  </connection>
  <connection id="755" name="Connection876" type="4" refreshedVersion="6" background="1" saveData="1">
    <webPr xl2000="1" url="https://fclm-portal.amazon.com/ppa/inspect/node/csv?nodeType=DS&amp;warehouseId=DDC4&amp;maxIntradayDays=1&amp;spanType=Intraday&amp;startDateIntraday=2020%2F09%2F01&amp;startHourIntraday=17&amp;startMinuteIntraday=0&amp;endDateIntraday=2020%2F09%2F01&amp;endHourIntraday=18&amp;endMinuteIntraday=0" htmlTables="1" htmlFormat="all"/>
  </connection>
  <connection id="756" name="Connection877" type="4" refreshedVersion="6" background="1" saveData="1">
    <webPr xl2000="1" url="https://fclm-portal.amazon.com/ppa/inspect/node/csv?nodeType=DS&amp;warehouseId=DDC4&amp;maxIntradayDays=1&amp;spanType=Intraday&amp;startDateIntraday=2020%2F09%2F01&amp;startHourIntraday=18&amp;startMinuteIntraday=0&amp;endDateIntraday=2020%2F09%2F01&amp;endHourIntraday=19&amp;endMinuteIntraday=0" htmlTables="1" htmlFormat="all"/>
  </connection>
  <connection id="757" name="Connection878" type="4" refreshedVersion="6" background="1" saveData="1">
    <webPr xl2000="1" url="https://fclm-portal.amazon.com/ppa/inspect/node/csv?nodeType=DS&amp;warehouseId=DDC4&amp;maxIntradayDays=1&amp;spanType=Intraday&amp;startDateIntraday=2020%2F09%2F01&amp;startHourIntraday=16&amp;startMinuteIntraday=0&amp;endDateIntraday=2020%2F09%2F01&amp;endHourIntraday=17&amp;endMinuteIntraday=0" htmlTables="1" htmlFormat="all"/>
  </connection>
  <connection id="758" name="Connection879" type="4" refreshedVersion="6" background="1" saveData="1">
    <webPr xl2000="1" url="https://fclm-portal.amazon.com/ppa/inspect/node/csv?nodeType=DS&amp;warehouseId=DDC4&amp;maxIntradayDays=1&amp;spanType=Intraday&amp;startDateIntraday=2020%2F09%2F01&amp;startHourIntraday=17&amp;startMinuteIntraday=0&amp;endDateIntraday=2020%2F09%2F01&amp;endHourIntraday=18&amp;endMinuteIntraday=0" htmlTables="1" htmlFormat="all"/>
  </connection>
  <connection id="759" name="Connection880" type="4" refreshedVersion="6" background="1" saveData="1">
    <webPr xl2000="1" url="https://fclm-portal.amazon.com/ppa/inspect/node/csv?nodeType=DS&amp;warehouseId=DDC4&amp;maxIntradayDays=1&amp;spanType=Intraday&amp;startDateIntraday=2020%2F09%2F01&amp;startHourIntraday=18&amp;startMinuteIntraday=0&amp;endDateIntraday=2020%2F09%2F01&amp;endHourIntraday=19&amp;endMinuteIntraday=0" htmlTables="1" htmlFormat="all"/>
  </connection>
  <connection id="760" name="Connection881" type="4" refreshedVersion="6" background="1" saveData="1">
    <webPr xl2000="1" url="https://fclm-portal.amazon.com/ppa/inspect/node/csv?nodeType=DS&amp;warehouseId=DDC4&amp;maxIntradayDays=1&amp;spanType=Intraday&amp;startDateIntraday=2020%2F09%2F01&amp;startHourIntraday=16&amp;startMinuteIntraday=0&amp;endDateIntraday=2020%2F09%2F01&amp;endHourIntraday=17&amp;endMinuteIntraday=0" htmlTables="1" htmlFormat="all"/>
  </connection>
  <connection id="761" name="Connection882" type="4" refreshedVersion="6" background="1" saveData="1">
    <webPr xl2000="1" url="https://fclm-portal.amazon.com/ppa/inspect/node/csv?nodeType=DS&amp;warehouseId=DDC4&amp;maxIntradayDays=1&amp;spanType=Intraday&amp;startDateIntraday=2020%2F09%2F01&amp;startHourIntraday=17&amp;startMinuteIntraday=0&amp;endDateIntraday=2020%2F09%2F01&amp;endHourIntraday=18&amp;endMinuteIntraday=0" htmlTables="1" htmlFormat="all"/>
  </connection>
  <connection id="762" name="Connection883" type="4" refreshedVersion="6" background="1" saveData="1">
    <webPr xl2000="1" url="https://fclm-portal.amazon.com/ppa/inspect/node/csv?nodeType=DS&amp;warehouseId=DDC4&amp;maxIntradayDays=1&amp;spanType=Intraday&amp;startDateIntraday=2020%2F09%2F01&amp;startHourIntraday=18&amp;startMinuteIntraday=0&amp;endDateIntraday=2020%2F09%2F01&amp;endHourIntraday=19&amp;endMinuteIntraday=0" htmlTables="1" htmlFormat="all"/>
  </connection>
  <connection id="763" name="Connection884" type="4" refreshedVersion="6" background="1" saveData="1">
    <webPr xl2000="1" url="https://fclm-portal.amazon.com/ppa/inspect/node/csv?nodeType=DS&amp;warehouseId=DDC4&amp;maxIntradayDays=1&amp;spanType=Intraday&amp;startDateIntraday=2020%2F09%2F01&amp;startHourIntraday=19&amp;startMinuteIntraday=0&amp;endDateIntraday=2020%2F09%2F01&amp;endHourIntraday=20&amp;endMinuteIntraday=0" htmlTables="1" htmlFormat="all"/>
  </connection>
  <connection id="764" name="Connection885" type="4" refreshedVersion="6" background="1" saveData="1">
    <webPr xl2000="1" url="https://fclm-portal.amazon.com/ppa/inspect/node/csv?nodeType=DS&amp;warehouseId=DDC4&amp;maxIntradayDays=1&amp;spanType=Intraday&amp;startDateIntraday=2020%2F09%2F01&amp;startHourIntraday=20&amp;startMinuteIntraday=0&amp;endDateIntraday=2020%2F09%2F01&amp;endHourIntraday=21&amp;endMinuteIntraday=0" htmlTables="1" htmlFormat="all"/>
  </connection>
  <connection id="765" name="Connection886" type="4" refreshedVersion="6" background="1" saveData="1">
    <webPr xl2000="1" url="https://fclm-portal.amazon.com/ppa/inspect/node/csv?nodeType=DS&amp;warehouseId=DDC4&amp;maxIntradayDays=1&amp;spanType=Intraday&amp;startDateIntraday=2020%2F09%2F01&amp;startHourIntraday=18&amp;startMinuteIntraday=0&amp;endDateIntraday=2020%2F09%2F01&amp;endHourIntraday=19&amp;endMinuteIntraday=0" htmlTables="1" htmlFormat="all"/>
  </connection>
  <connection id="766" name="Connection887" type="4" refreshedVersion="6" background="1" saveData="1">
    <webPr xl2000="1" url="https://fclm-portal.amazon.com/ppa/inspect/node/csv?nodeType=DS&amp;warehouseId=DDC4&amp;maxIntradayDays=1&amp;spanType=Intraday&amp;startDateIntraday=2020%2F09%2F01&amp;startHourIntraday=18&amp;startMinuteIntraday=0&amp;endDateIntraday=2020%2F09%2F01&amp;endHourIntraday=19&amp;endMinuteIntraday=0" htmlTables="1" htmlFormat="all"/>
  </connection>
  <connection id="767" name="Connection888" type="4" refreshedVersion="6" background="1" saveData="1">
    <webPr xl2000="1" url="https://fclm-portal.amazon.com/ppa/inspect/node/csv?nodeType=DS&amp;warehouseId=DDC4&amp;maxIntradayDays=1&amp;spanType=Intraday&amp;startDateIntraday=2020%2F09%2F01&amp;startHourIntraday=18&amp;startMinuteIntraday=0&amp;endDateIntraday=2020%2F09%2F01&amp;endHourIntraday=19&amp;endMinuteIntraday=0" htmlTables="1" htmlFormat="all"/>
  </connection>
  <connection id="768" name="Connection889" type="4" refreshedVersion="6" background="1" saveData="1">
    <webPr xl2000="1" url="https://fclm-portal.amazon.com/ppa/inspect/node/csv?nodeType=DS&amp;warehouseId=DDC4&amp;maxIntradayDays=1&amp;spanType=Intraday&amp;startDateIntraday=2020%2F09%2F01&amp;startHourIntraday=16&amp;startMinuteIntraday=0&amp;endDateIntraday=2020%2F09%2F01&amp;endHourIntraday=17&amp;endMinuteIntraday=0" htmlTables="1" htmlFormat="all"/>
  </connection>
  <connection id="769" name="Connection89" type="4" refreshedVersion="6" background="1" saveData="1">
    <webPr xl2000="1" url="https://fclm-portal.amazon.com/ppa/inspect/node/csv?nodeType=DS&amp;warehouseId=DPD1&amp;maxIntradayDays=1&amp;spanType=Intraday&amp;startDateIntraday=2020%2F04%2F19&amp;startHourIntraday=4&amp;startMinuteIntraday=0&amp;endDateIntraday=2020%2F04%2F19&amp;endHourIntraday=5&amp;endMinuteIntraday=0" htmlTables="1" htmlFormat="all"/>
  </connection>
  <connection id="770" name="Connection890" type="4" refreshedVersion="6" background="1" saveData="1">
    <webPr xl2000="1" url="https://fclm-portal.amazon.com/ppa/inspect/node/csv?nodeType=DS&amp;warehouseId=DDC4&amp;maxIntradayDays=1&amp;spanType=Intraday&amp;startDateIntraday=2020%2F09%2F01&amp;startHourIntraday=17&amp;startMinuteIntraday=0&amp;endDateIntraday=2020%2F09%2F01&amp;endHourIntraday=18&amp;endMinuteIntraday=0" htmlTables="1" htmlFormat="all"/>
  </connection>
  <connection id="771" name="Connection891" type="4" refreshedVersion="6" background="1" saveData="1">
    <webPr xl2000="1" url="https://fclm-portal.amazon.com/ppa/inspect/node/csv?nodeType=DS&amp;warehouseId=DDC4&amp;maxIntradayDays=1&amp;spanType=Intraday&amp;startDateIntraday=2020%2F09%2F01&amp;startHourIntraday=19&amp;startMinuteIntraday=0&amp;endDateIntraday=2020%2F09%2F01&amp;endHourIntraday=20&amp;endMinuteIntraday=0" htmlTables="1" htmlFormat="all"/>
  </connection>
  <connection id="772" name="Connection892" type="4" refreshedVersion="6" background="1" saveData="1">
    <webPr xl2000="1" url="https://fclm-portal.amazon.com/ppa/inspect/node/csv?nodeType=DS&amp;warehouseId=DDC4&amp;maxIntradayDays=1&amp;spanType=Intraday&amp;startDateIntraday=2020%2F09%2F01&amp;startHourIntraday=20&amp;startMinuteIntraday=0&amp;endDateIntraday=2020%2F09%2F01&amp;endHourIntraday=21&amp;endMinuteIntraday=0" htmlTables="1" htmlFormat="all"/>
  </connection>
  <connection id="773" name="Connection893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774" name="Connection894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775" name="Connection895" type="4" refreshedVersion="6" background="1" saveData="1">
    <webPr xl2000="1" url="https://fclm-portal.amazon.com/ppa/inspect/node/csv?nodeType=DS&amp;warehouseId=DDC4&amp;maxIntradayDays=1&amp;spanType=Intraday&amp;startDateIntraday=2020%2F08%2F13&amp;startHourIntraday=21&amp;startMinuteIntraday=0&amp;endDateIntraday=2020%2F08%2F13&amp;endHourIntraday=22&amp;endMinuteIntraday=0" htmlTables="1" htmlFormat="all"/>
  </connection>
  <connection id="776" name="Connection896" type="4" refreshedVersion="6" background="1" saveData="1">
    <webPr xl2000="1" url="https://fclm-portal.amazon.com/ppa/inspect/node/csv?nodeType=DS&amp;warehouseId=DDC4&amp;maxIntradayDays=1&amp;spanType=Intraday&amp;startDateIntraday=2020%2F08%2F13&amp;startHourIntraday=23&amp;startMinuteIntraday=0&amp;endDateIntraday=2020%2F08%2F14&amp;endHourIntraday=0&amp;endMinuteIntraday=0" htmlTables="1" htmlFormat="all"/>
  </connection>
  <connection id="777" name="Connection897" type="4" refreshedVersion="6" background="1" saveData="1">
    <webPr xl2000="1" url="https://fclm-portal.amazon.com/ppa/inspect/node/csv?nodeType=DS&amp;warehouseId=DDC4&amp;maxIntradayDays=1&amp;spanType=Intraday&amp;startDateIntraday=2020%2F08%2F13&amp;startHourIntraday=22&amp;startMinuteIntraday=0&amp;endDateIntraday=2020%2F08%2F13&amp;endHourIntraday=23&amp;endMinuteIntraday=0" htmlTables="1" htmlFormat="all"/>
  </connection>
  <connection id="778" name="Connection898" type="4" refreshedVersion="6" background="1" saveData="1">
    <webPr xl2000="1" url="https://fclm-portal.amazon.com/ppa/inspect/node/csv?nodeType=DS&amp;warehouseId=DDC4&amp;maxIntradayDays=1&amp;spanType=Intraday&amp;startDateIntraday=2020%2F09%2F04&amp;startHourIntraday=4&amp;startMinuteIntraday=0&amp;endDateIntraday=2020%2F09%2F04&amp;endHourIntraday=5&amp;endMinuteIntraday=0" htmlTables="1" htmlFormat="all"/>
  </connection>
  <connection id="779" name="Connection899" type="4" refreshedVersion="6" background="1" saveData="1">
    <webPr xl2000="1" url="https://fclm-portal.amazon.com/ppa/inspect/node/csv?nodeType=DS&amp;warehouseId=DDC4&amp;maxIntradayDays=1&amp;spanType=Intraday&amp;startDateIntraday=2020%2F09%2F04&amp;startHourIntraday=5&amp;startMinuteIntraday=0&amp;endDateIntraday=2020%2F09%2F04&amp;endHourIntraday=6&amp;endMinuteIntraday=0" htmlTables="1" htmlFormat="all"/>
  </connection>
  <connection id="780" name="Connection9" type="4" refreshedVersion="6" background="1" saveData="1">
    <webPr xl2000="1" url="https://fclm-portal.amazon.com/ppa/inspect/node/csv?nodeType=DS&amp;warehouseId=DCH5&amp;maxIntradayDays=1&amp;spanType=Intraday&amp;startDateIntraday=2020%2F03%2F23&amp;startHourIntraday=23&amp;startMinuteIntraday=0&amp;endDateIntraday=2020%2F03%2F24&amp;endHourIntraday=0&amp;endMinuteIntraday=0" htmlTables="1" htmlFormat="all"/>
  </connection>
  <connection id="781" name="Connection900" type="4" refreshedVersion="6" background="1" saveData="1">
    <webPr xl2000="1" url="https://fclm-portal.amazon.com/ppa/inspect/node/csv?nodeType=DS&amp;warehouseId=DDC4&amp;maxIntradayDays=1&amp;spanType=Intraday&amp;startDateIntraday=2020%2F09%2F04&amp;startHourIntraday=6&amp;startMinuteIntraday=0&amp;endDateIntraday=2020%2F09%2F04&amp;endHourIntraday=7&amp;endMinuteIntraday=0" htmlTables="1" htmlFormat="all"/>
  </connection>
  <connection id="782" name="Connection901" type="4" refreshedVersion="6" background="1" saveData="1">
    <webPr xl2000="1" url="https://fclm-portal.amazon.com/ppa/inspect/node/csv?nodeType=DS&amp;warehouseId=DDC4&amp;maxIntradayDays=1&amp;spanType=Intraday&amp;startDateIntraday=2020%2F09%2F04&amp;startHourIntraday=7&amp;startMinuteIntraday=0&amp;endDateIntraday=2020%2F09%2F04&amp;endHourIntraday=8&amp;endMinuteIntraday=0" htmlTables="1" htmlFormat="all"/>
  </connection>
  <connection id="783" name="Connection902" type="4" refreshedVersion="6" background="1" saveData="1">
    <webPr xl2000="1" url="https://fclm-portal.amazon.com/ppa/inspect/node/csv?nodeType=DS&amp;warehouseId=DDC4&amp;maxIntradayDays=1&amp;spanType=Intraday&amp;startDateIntraday=2020%2F09%2F04&amp;startHourIntraday=8&amp;startMinuteIntraday=0&amp;endDateIntraday=2020%2F09%2F04&amp;endHourIntraday=9&amp;endMinuteIntraday=0" htmlTables="1" htmlFormat="all"/>
  </connection>
  <connection id="784" name="Connection903" type="4" refreshedVersion="6" background="1" saveData="1">
    <webPr xl2000="1" url="https://fclm-portal.amazon.com/ppa/inspect/node/csv?nodeType=DS&amp;warehouseId=DDC4&amp;maxIntradayDays=1&amp;spanType=Intraday&amp;startDateIntraday=2020%2F09%2F04&amp;startHourIntraday=9&amp;startMinuteIntraday=0&amp;endDateIntraday=2020%2F09%2F04&amp;endHourIntraday=10&amp;endMinuteIntraday=0" htmlTables="1" htmlFormat="all"/>
  </connection>
  <connection id="785" name="Connection904" type="4" refreshedVersion="6" background="1" saveData="1">
    <webPr xl2000="1" url="https://fclm-portal.amazon.com/ppa/inspect/node/csv?nodeType=DS&amp;warehouseId=DDC4&amp;maxIntradayDays=1&amp;spanType=Intraday&amp;startDateIntraday=2020%2F09%2F04&amp;startHourIntraday=4&amp;startMinuteIntraday=0&amp;endDateIntraday=2020%2F09%2F04&amp;endHourIntraday=5&amp;endMinuteIntraday=0" htmlTables="1" htmlFormat="all"/>
  </connection>
  <connection id="786" name="Connection905" type="4" refreshedVersion="6" background="1" saveData="1">
    <webPr xl2000="1" url="https://fclm-portal.amazon.com/ppa/inspect/node/csv?nodeType=DS&amp;warehouseId=DDC4&amp;maxIntradayDays=1&amp;spanType=Intraday&amp;startDateIntraday=2020%2F09%2F04&amp;startHourIntraday=6&amp;startMinuteIntraday=0&amp;endDateIntraday=2020%2F09%2F04&amp;endHourIntraday=7&amp;endMinuteIntraday=0" htmlTables="1" htmlFormat="all"/>
  </connection>
  <connection id="787" name="Connection906" type="4" refreshedVersion="6" background="1" saveData="1">
    <webPr xl2000="1" url="https://fclm-portal.amazon.com/ppa/inspect/node/csv?nodeType=DS&amp;warehouseId=DDC4&amp;maxIntradayDays=1&amp;spanType=Intraday&amp;startDateIntraday=2020%2F09%2F04&amp;startHourIntraday=5&amp;startMinuteIntraday=0&amp;endDateIntraday=2020%2F09%2F04&amp;endHourIntraday=6&amp;endMinuteIntraday=0" htmlTables="1" htmlFormat="all"/>
  </connection>
  <connection id="788" name="Connection907" type="4" refreshedVersion="6" background="1" saveData="1">
    <webPr xl2000="1" url="https://fclm-portal.amazon.com/ppa/inspect/node/csv?nodeType=DS&amp;warehouseId=DDC4&amp;maxIntradayDays=1&amp;spanType=Intraday&amp;startDateIntraday=2020%2F09%2F04&amp;startHourIntraday=6&amp;startMinuteIntraday=0&amp;endDateIntraday=2020%2F09%2F04&amp;endHourIntraday=7&amp;endMinuteIntraday=0" htmlTables="1" htmlFormat="all"/>
  </connection>
  <connection id="789" name="Connection908" type="4" refreshedVersion="6" background="1" saveData="1">
    <webPr xl2000="1" url="https://fclm-portal.amazon.com/ppa/inspect/node/csv?nodeType=DS&amp;warehouseId=DDC4&amp;maxIntradayDays=1&amp;spanType=Intraday&amp;startDateIntraday=2020%2F09%2F04&amp;startHourIntraday=7&amp;startMinuteIntraday=0&amp;endDateIntraday=2020%2F09%2F04&amp;endHourIntraday=8&amp;endMinuteIntraday=0" htmlTables="1" htmlFormat="all"/>
  </connection>
  <connection id="790" name="Connection909" type="4" refreshedVersion="6" background="1" saveData="1">
    <webPr xl2000="1" url="https://fclm-portal.amazon.com/ppa/inspect/node/csv?nodeType=DS&amp;warehouseId=DDC4&amp;maxIntradayDays=1&amp;spanType=Intraday&amp;startDateIntraday=2020%2F09%2F04&amp;startHourIntraday=8&amp;startMinuteIntraday=0&amp;endDateIntraday=2020%2F09%2F04&amp;endHourIntraday=9&amp;endMinuteIntraday=0" htmlTables="1" htmlFormat="all"/>
  </connection>
  <connection id="791" name="Connection910" type="4" refreshedVersion="6" background="1" saveData="1">
    <webPr xl2000="1" url="https://fclm-portal.amazon.com/ppa/inspect/node/csv?nodeType=DS&amp;warehouseId=DDC4&amp;maxIntradayDays=1&amp;spanType=Intraday&amp;startDateIntraday=2020%2F09%2F04&amp;startHourIntraday=9&amp;startMinuteIntraday=0&amp;endDateIntraday=2020%2F09%2F04&amp;endHourIntraday=10&amp;endMinuteIntraday=0" htmlTables="1" htmlFormat="all"/>
  </connection>
  <connection id="792" name="Connection911" type="4" refreshedVersion="6" background="1" saveData="1">
    <webPr xl2000="1" url="https://fclm-portal.amazon.com/ppa/inspect/node/csv?nodeType=DS&amp;warehouseId=DDC4&amp;maxIntradayDays=1&amp;spanType=Intraday&amp;startDateIntraday=2020%2F09%2F05&amp;startHourIntraday=6&amp;startMinuteIntraday=0&amp;endDateIntraday=2020%2F09%2F05&amp;endHourIntraday=7&amp;endMinuteIntraday=0" htmlTables="1" htmlFormat="all"/>
  </connection>
  <connection id="793" name="Connection912" type="4" refreshedVersion="6" background="1" saveData="1">
    <webPr xl2000="1" url="https://fclm-portal.amazon.com/ppa/inspect/node/csv?nodeType=DS&amp;warehouseId=DDC4&amp;maxIntradayDays=1&amp;spanType=Intraday&amp;startDateIntraday=2020%2F09%2F01&amp;startHourIntraday=6&amp;startMinuteIntraday=0&amp;endDateIntraday=2020%2F09%2F01&amp;endHourIntraday=7&amp;endMinuteIntraday=0" htmlTables="1" htmlFormat="all"/>
  </connection>
  <connection id="794" name="Connection913" type="4" refreshedVersion="6" background="1" saveData="1">
    <webPr xl2000="1" url="https://fclm-portal.amazon.com/ppa/inspect/node/csv?nodeType=DS&amp;warehouseId=DDC4&amp;maxIntradayDays=1&amp;spanType=Intraday&amp;startDateIntraday=2020%2F08%2F21&amp;startHourIntraday=6&amp;startMinuteIntraday=0&amp;endDateIntraday=2020%2F08%2F21&amp;endHourIntraday=7&amp;endMinuteIntraday=0" htmlTables="1" htmlFormat="all"/>
  </connection>
  <connection id="795" name="Connection914" type="4" refreshedVersion="6" background="1" saveData="1">
    <webPr xl2000="1" url="https://fclm-portal.amazon.com/ppa/inspect/node/csv?nodeType=DS&amp;warehouseId=DDC4&amp;maxIntradayDays=1&amp;spanType=Intraday&amp;startDateIntraday=2020%2F08%2F21&amp;startHourIntraday=7&amp;startMinuteIntraday=0&amp;endDateIntraday=2020%2F08%2F21&amp;endHourIntraday=8&amp;endMinuteIntraday=0" htmlTables="1" htmlFormat="all"/>
  </connection>
  <connection id="796" name="Connection915" type="4" refreshedVersion="6" background="1" saveData="1">
    <webPr xl2000="1" url="https://fclm-portal.amazon.com/ppa/inspect/node/csv?nodeType=DS&amp;warehouseId=DDC4&amp;maxIntradayDays=1&amp;spanType=Intraday&amp;startDateIntraday=2020%2F08%2F21&amp;startHourIntraday=8&amp;startMinuteIntraday=0&amp;endDateIntraday=2020%2F08%2F21&amp;endHourIntraday=9&amp;endMinuteIntraday=0" htmlTables="1" htmlFormat="all"/>
  </connection>
  <connection id="797" name="Connection916" type="4" refreshedVersion="6" background="1" saveData="1">
    <webPr xl2000="1" url="https://fclm-portal.amazon.com/ppa/inspect/node/csv?nodeType=DS&amp;warehouseId=DDC4&amp;maxIntradayDays=1&amp;spanType=Intraday&amp;startDateIntraday=2020%2F08%2F21&amp;startHourIntraday=9&amp;startMinuteIntraday=0&amp;endDateIntraday=2020%2F08%2F21&amp;endHourIntraday=10&amp;endMinuteIntraday=0" htmlTables="1" htmlFormat="all"/>
  </connection>
  <connection id="798" name="Connection917" type="4" refreshedVersion="6" background="1" saveData="1">
    <webPr xl2000="1" url="https://fclm-portal.amazon.com/ppa/inspect/node/csv?nodeType=DS&amp;warehouseId=DDC4&amp;maxIntradayDays=1&amp;spanType=Intraday&amp;startDateIntraday=2020%2F08%2F21&amp;startHourIntraday=10&amp;startMinuteIntraday=0&amp;endDateIntraday=2020%2F08%2F21&amp;endHourIntraday=11&amp;endMinuteIntraday=0" htmlTables="1" htmlFormat="all"/>
  </connection>
  <connection id="799" name="Connection918" type="4" refreshedVersion="6" background="1" saveData="1">
    <webPr xl2000="1" url="https://fclm-portal.amazon.com/ppa/inspect/node/csv?nodeType=DS&amp;warehouseId=DDC4&amp;maxIntradayDays=1&amp;spanType=Intraday&amp;startDateIntraday=2020%2F08%2F21&amp;startHourIntraday=11&amp;startMinuteIntraday=0&amp;endDateIntraday=2020%2F08%2F21&amp;endHourIntraday=12&amp;endMinuteIntraday=0" htmlTables="1" htmlFormat="all"/>
  </connection>
  <connection id="800" name="Connection919" type="4" refreshedVersion="6" background="1" saveData="1">
    <webPr xl2000="1" url="https://fclm-portal.amazon.com/ppa/inspect/node/csv?nodeType=DS&amp;warehouseId=DDC4&amp;maxIntradayDays=1&amp;spanType=Intraday&amp;startDateIntraday=2020%2F08%2F21&amp;startHourIntraday=12&amp;startMinuteIntraday=0&amp;endDateIntraday=2020%2F08%2F21&amp;endHourIntraday=13&amp;endMinuteIntraday=0" htmlTables="1" htmlFormat="all"/>
  </connection>
  <connection id="801" name="Connection920" type="4" refreshedVersion="6" background="1" saveData="1">
    <webPr xl2000="1" url="https://fclm-portal.amazon.com/ppa/inspect/node/csv?nodeType=DS&amp;warehouseId=DDC4&amp;maxIntradayDays=1&amp;spanType=Intraday&amp;startDateIntraday=2020%2F08%2F21&amp;startHourIntraday=13&amp;startMinuteIntraday=0&amp;endDateIntraday=2020%2F08%2F21&amp;endHourIntraday=14&amp;endMinuteIntraday=0" htmlTables="1" htmlFormat="all"/>
  </connection>
  <connection id="802" name="Connection921" type="4" refreshedVersion="6" background="1" saveData="1">
    <webPr xl2000="1" url="https://fclm-portal.amazon.com/ppa/inspect/node/csv?nodeType=DS&amp;warehouseId=DDC4&amp;maxIntradayDays=1&amp;spanType=Intraday&amp;startDateIntraday=2020%2F08%2F13&amp;startHourIntraday=20&amp;startMinuteIntraday=0&amp;endDateIntraday=2020%2F08%2F13&amp;endHourIntraday=21&amp;endMinuteIntraday=0" htmlTables="1" htmlFormat="all"/>
  </connection>
  <connection id="803" name="Connection922" type="4" refreshedVersion="6" background="1" saveData="1">
    <webPr xl2000="1" url="https://fclm-portal.amazon.com/ppa/inspect/node/csv?nodeType=DS&amp;warehouseId=DDC4&amp;maxIntradayDays=1&amp;spanType=Intraday&amp;startDateIntraday=2020%2F08%2F13&amp;startHourIntraday=21&amp;startMinuteIntraday=0&amp;endDateIntraday=2020%2F08%2F13&amp;endHourIntraday=22&amp;endMinuteIntraday=0" htmlTables="1" htmlFormat="all"/>
  </connection>
  <connection id="804" name="Connection923" type="4" refreshedVersion="6" background="1" saveData="1">
    <webPr xl2000="1" url="https://fclm-portal.amazon.com/ppa/inspect/node/csv?nodeType=DS&amp;warehouseId=DDC4&amp;maxIntradayDays=1&amp;spanType=Intraday&amp;startDateIntraday=2020%2F08%2F13&amp;startHourIntraday=22&amp;startMinuteIntraday=0&amp;endDateIntraday=2020%2F08%2F13&amp;endHourIntraday=23&amp;endMinuteIntraday=0" htmlTables="1" htmlFormat="all"/>
  </connection>
  <connection id="805" name="Connection924" type="4" refreshedVersion="6" background="1" saveData="1">
    <webPr xl2000="1" url="https://fclm-portal.amazon.com/ppa/inspect/node/csv?nodeType=DS&amp;warehouseId=DDC4&amp;maxIntradayDays=1&amp;spanType=Intraday&amp;startDateIntraday=2020%2F08%2F13&amp;startHourIntraday=23&amp;startMinuteIntraday=0&amp;endDateIntraday=2020%2F08%2F14&amp;endHourIntraday=0&amp;endMinuteIntraday=0" htmlTables="1" htmlFormat="all"/>
  </connection>
  <connection id="806" name="Connection925" type="4" refreshedVersion="6" background="1" saveData="1">
    <webPr xl2000="1" url="https://fclm-portal.amazon.com/ppa/inspect/node/csv?nodeType=DS&amp;warehouseId=DDC4&amp;maxIntradayDays=1&amp;spanType=Intraday&amp;startDateIntraday=2020%2F08%2F14&amp;startHourIntraday=0&amp;startMinuteIntraday=0&amp;endDateIntraday=2020%2F08%2F14&amp;endHourIntraday=1&amp;endMinuteIntraday=0" htmlTables="1" htmlFormat="all"/>
  </connection>
  <connection id="807" name="Connection926" type="4" refreshedVersion="6" background="1" saveData="1">
    <webPr xl2000="1" url="https://fclm-portal.amazon.com/ppa/inspect/node/csv?nodeType=DS&amp;warehouseId=DDC4&amp;maxIntradayDays=1&amp;spanType=Intraday&amp;startDateIntraday=2020%2F08%2F14&amp;startHourIntraday=1&amp;startMinuteIntraday=0&amp;endDateIntraday=2020%2F08%2F14&amp;endHourIntraday=2&amp;endMinuteIntraday=0" htmlTables="1" htmlFormat="all"/>
  </connection>
  <connection id="808" name="Connection927" type="4" refreshedVersion="6" background="1" saveData="1">
    <webPr xl2000="1" url="https://fclm-portal.amazon.com/ppa/inspect/node/csv?nodeType=DS&amp;warehouseId=DDC4&amp;maxIntradayDays=1&amp;spanType=Intraday&amp;startDateIntraday=2020%2F08%2F14&amp;startHourIntraday=2&amp;startMinuteIntraday=0&amp;endDateIntraday=2020%2F08%2F14&amp;endHourIntraday=3&amp;endMinuteIntraday=0" htmlTables="1" htmlFormat="all"/>
  </connection>
  <connection id="809" name="Connection928" type="4" refreshedVersion="6" background="1" saveData="1">
    <webPr xl2000="1" url="https://fclm-portal.amazon.com/ppa/inspect/node/csv?nodeType=DS&amp;warehouseId=DDC4&amp;maxIntradayDays=1&amp;spanType=Intraday&amp;startDateIntraday=2020%2F08%2F14&amp;startHourIntraday=3&amp;startMinuteIntraday=0&amp;endDateIntraday=2020%2F08%2F14&amp;endHourIntraday=4&amp;endMinuteIntraday=0" htmlTables="1" htmlFormat="all"/>
  </connection>
  <connection id="810" name="Connection929" type="4" refreshedVersion="6" background="1" saveData="1">
    <webPr xl2000="1" url="https://fclm-portal.amazon.com/ppa/inspect/node/csv?nodeType=DS&amp;warehouseId=DDC4&amp;maxIntradayDays=1&amp;spanType=Intraday&amp;startDateIntraday=2020%2F08%2F14&amp;startHourIntraday=4&amp;startMinuteIntraday=0&amp;endDateIntraday=2020%2F08%2F14&amp;endHourIntraday=5&amp;endMinuteIntraday=0" htmlTables="1" htmlFormat="all"/>
  </connection>
  <connection id="811" name="Connection930" type="4" refreshedVersion="6" background="1" saveData="1">
    <webPr xl2000="1" url="https://fclm-portal.amazon.com/ppa/inspect/node/csv?nodeType=DS&amp;warehouseId=DDC4&amp;maxIntradayDays=1&amp;spanType=Intraday&amp;startDateIntraday=2020%2F09%2F01&amp;startHourIntraday=4&amp;startMinuteIntraday=0&amp;endDateIntraday=2020%2F09%2F01&amp;endHourIntraday=5&amp;endMinuteIntraday=0" htmlTables="1" htmlFormat="all"/>
  </connection>
  <connection id="812" name="Connection931" type="4" refreshedVersion="6" background="1" saveData="1">
    <webPr xl2000="1" url="https://fclm-portal.amazon.com/ppa/inspect/node/csv?nodeType=DS&amp;warehouseId=DDC4&amp;maxIntradayDays=1&amp;spanType=Intraday&amp;startDateIntraday=2020%2F09%2F01&amp;startHourIntraday=5&amp;startMinuteIntraday=0&amp;endDateIntraday=2020%2F09%2F01&amp;endHourIntraday=6&amp;endMinuteIntraday=0" htmlTables="1" htmlFormat="all"/>
  </connection>
  <connection id="813" name="Connection932" type="4" refreshedVersion="6" background="1" saveData="1">
    <webPr xl2000="1" url="https://fclm-portal.amazon.com/ppa/inspect/node/csv?nodeType=DS&amp;warehouseId=DDC4&amp;maxIntradayDays=1&amp;spanType=Intraday&amp;startDateIntraday=2020%2F09%2F01&amp;startHourIntraday=6&amp;startMinuteIntraday=0&amp;endDateIntraday=2020%2F09%2F01&amp;endHourIntraday=7&amp;endMinuteIntraday=0" htmlTables="1" htmlFormat="all"/>
  </connection>
  <connection id="814" name="Connection933" type="4" refreshedVersion="6" background="1" saveData="1">
    <webPr xl2000="1" url="https://fclm-portal.amazon.com/ppa/inspect/node/csv?nodeType=DS&amp;warehouseId=DDC4&amp;maxIntradayDays=1&amp;spanType=Intraday&amp;startDateIntraday=2020%2F09%2F01&amp;startHourIntraday=7&amp;startMinuteIntraday=0&amp;endDateIntraday=2020%2F09%2F01&amp;endHourIntraday=8&amp;endMinuteIntraday=0" htmlTables="1" htmlFormat="all"/>
  </connection>
  <connection id="815" name="Connection934" type="4" refreshedVersion="6" background="1" saveData="1">
    <webPr xl2000="1" url="https://fclm-portal.amazon.com/ppa/inspect/node/csv?nodeType=DS&amp;warehouseId=DDC4&amp;maxIntradayDays=1&amp;spanType=Intraday&amp;startDateIntraday=2020%2F09%2F01&amp;startHourIntraday=8&amp;startMinuteIntraday=0&amp;endDateIntraday=2020%2F09%2F01&amp;endHourIntraday=9&amp;endMinuteIntraday=0" htmlTables="1" htmlFormat="all"/>
  </connection>
  <connection id="816" name="Connection935" type="4" refreshedVersion="6" background="1" saveData="1">
    <webPr xl2000="1" url="https://fclm-portal.amazon.com/ppa/inspect/node/csv?nodeType=DS&amp;warehouseId=DDC4&amp;maxIntradayDays=1&amp;spanType=Intraday&amp;startDateIntraday=2020%2F09%2F01&amp;startHourIntraday=9&amp;startMinuteIntraday=0&amp;endDateIntraday=2020%2F09%2F01&amp;endHourIntraday=10&amp;endMinuteIntraday=0" htmlTables="1" htmlFormat="all"/>
  </connection>
  <connection id="817" name="Connection936" type="4" refreshedVersion="6" background="1" saveData="1">
    <webPr xl2000="1" url="https://fclm-portal.amazon.com/ppa/inspect/node/csv?nodeType=DS&amp;warehouseId=DDC4&amp;maxIntradayDays=1&amp;spanType=Intraday&amp;startDateIntraday=2020%2F08%2F21&amp;startHourIntraday=6&amp;startMinuteIntraday=0&amp;endDateIntraday=2020%2F08%2F21&amp;endHourIntraday=7&amp;endMinuteIntraday=0" htmlTables="1" htmlFormat="all"/>
  </connection>
  <connection id="818" name="Connection937" type="4" refreshedVersion="6" background="1" saveData="1">
    <webPr xl2000="1" url="https://fclm-portal.amazon.com/ppa/inspect/node/csv?nodeType=DS&amp;warehouseId=DDC4&amp;maxIntradayDays=1&amp;spanType=Intraday&amp;startDateIntraday=2020%2F08%2F21&amp;startHourIntraday=7&amp;startMinuteIntraday=0&amp;endDateIntraday=2020%2F08%2F21&amp;endHourIntraday=8&amp;endMinuteIntraday=0" htmlTables="1" htmlFormat="all"/>
  </connection>
  <connection id="819" name="Connection938" type="4" refreshedVersion="6" background="1" saveData="1">
    <webPr xl2000="1" url="https://fclm-portal.amazon.com/ppa/inspect/node/csv?nodeType=DS&amp;warehouseId=DDC4&amp;maxIntradayDays=1&amp;spanType=Intraday&amp;startDateIntraday=2020%2F08%2F21&amp;startHourIntraday=8&amp;startMinuteIntraday=0&amp;endDateIntraday=2020%2F08%2F21&amp;endHourIntraday=9&amp;endMinuteIntraday=0" htmlTables="1" htmlFormat="all"/>
  </connection>
  <connection id="820" name="Connection939" type="4" refreshedVersion="6" background="1" saveData="1">
    <webPr xl2000="1" url="https://fclm-portal.amazon.com/ppa/inspect/node/csv?nodeType=DS&amp;warehouseId=DDC4&amp;maxIntradayDays=1&amp;spanType=Intraday&amp;startDateIntraday=2020%2F08%2F21&amp;startHourIntraday=9&amp;startMinuteIntraday=0&amp;endDateIntraday=2020%2F08%2F21&amp;endHourIntraday=10&amp;endMinuteIntraday=0" htmlTables="1" htmlFormat="all"/>
  </connection>
  <connection id="821" name="Connection940" type="4" refreshedVersion="6" background="1" saveData="1">
    <webPr xl2000="1" url="https://fclm-portal.amazon.com/ppa/inspect/node/csv?nodeType=DS&amp;warehouseId=DDC4&amp;maxIntradayDays=1&amp;spanType=Intraday&amp;startDateIntraday=2020%2F08%2F21&amp;startHourIntraday=10&amp;startMinuteIntraday=0&amp;endDateIntraday=2020%2F08%2F21&amp;endHourIntraday=11&amp;endMinuteIntraday=0" htmlTables="1" htmlFormat="all"/>
  </connection>
  <connection id="822" name="Connection941" type="4" refreshedVersion="6" background="1" saveData="1">
    <webPr xl2000="1" url="https://fclm-portal.amazon.com/ppa/inspect/node/csv?nodeType=DS&amp;warehouseId=DDC4&amp;maxIntradayDays=1&amp;spanType=Intraday&amp;startDateIntraday=2020%2F08%2F21&amp;startHourIntraday=11&amp;startMinuteIntraday=0&amp;endDateIntraday=2020%2F08%2F21&amp;endHourIntraday=12&amp;endMinuteIntraday=0" htmlTables="1" htmlFormat="all"/>
  </connection>
  <connection id="823" name="Connection942" type="4" refreshedVersion="6" background="1" saveData="1">
    <webPr xl2000="1" url="https://fclm-portal.amazon.com/ppa/inspect/node/csv?nodeType=DS&amp;warehouseId=DDC4&amp;maxIntradayDays=1&amp;spanType=Intraday&amp;startDateIntraday=2020%2F09%2F01&amp;startHourIntraday=10&amp;startMinuteIntraday=0&amp;endDateIntraday=2020%2F09%2F01&amp;endHourIntraday=11&amp;endMinuteIntraday=0" htmlTables="1" htmlFormat="all"/>
  </connection>
  <connection id="824" name="Connection943" type="4" refreshedVersion="6" background="1" saveData="1">
    <webPr xl2000="1" url="https://fclm-portal.amazon.com/ppa/inspect/node/csv?nodeType=DS&amp;warehouseId=DDC4&amp;maxIntradayDays=1&amp;spanType=Intraday&amp;startDateIntraday=2020%2F09%2F01&amp;startHourIntraday=10&amp;startMinuteIntraday=0&amp;endDateIntraday=2020%2F09%2F01&amp;endHourIntraday=11&amp;endMinuteIntraday=0" htmlTables="1" htmlFormat="all"/>
  </connection>
  <connection id="825" name="Connection944" type="4" refreshedVersion="6" background="1" saveData="1">
    <webPr xl2000="1" url="https://fclm-portal.amazon.com/ppa/inspect/node/csv?nodeType=DS&amp;warehouseId=DDC4&amp;maxIntradayDays=1&amp;spanType=Intraday&amp;startDateIntraday=2020%2F09%2F01&amp;startHourIntraday=6&amp;startMinuteIntraday=0&amp;endDateIntraday=2020%2F09%2F01&amp;endHourIntraday=7&amp;endMinuteIntraday=0" htmlTables="1" htmlFormat="all"/>
  </connection>
  <connection id="826" name="Connection945" type="4" refreshedVersion="6" background="1" saveData="1">
    <webPr xl2000="1" url="https://fclm-portal.amazon.com/ppa/inspect/node/csv?nodeType=DS&amp;warehouseId=DDC4&amp;maxIntradayDays=1&amp;spanType=Intraday&amp;startDateIntraday=2020%2F09%2F01&amp;startHourIntraday=5&amp;startMinuteIntraday=0&amp;endDateIntraday=2020%2F09%2F01&amp;endHourIntraday=6&amp;endMinuteIntraday=0" htmlTables="1" htmlFormat="all"/>
  </connection>
  <connection id="827" name="Connection946" type="4" refreshedVersion="6" background="1" saveData="1">
    <webPr xl2000="1" url="https://fclm-portal.amazon.com/ppa/inspect/node/csv?nodeType=DS&amp;warehouseId=DDC4&amp;maxIntradayDays=1&amp;spanType=Intraday&amp;startDateIntraday=2020%2F09%2F01&amp;startHourIntraday=4&amp;startMinuteIntraday=0&amp;endDateIntraday=2020%2F09%2F01&amp;endHourIntraday=5&amp;endMinuteIntraday=0" htmlTables="1" htmlFormat="all"/>
  </connection>
  <connection id="828" name="Connection947" type="4" refreshedVersion="6" background="1" saveData="1">
    <webPr xl2000="1" url="https://fclm-portal.amazon.com/ppa/inspect/node/csv?nodeType=DS&amp;warehouseId=DDC4&amp;maxIntradayDays=1&amp;spanType=Intraday&amp;startDateIntraday=2020%2F09%2F01&amp;startHourIntraday=7&amp;startMinuteIntraday=0&amp;endDateIntraday=2020%2F09%2F01&amp;endHourIntraday=8&amp;endMinuteIntraday=0" htmlTables="1" htmlFormat="all"/>
  </connection>
  <connection id="829" name="Connection948" type="4" refreshedVersion="6" background="1" saveData="1">
    <webPr xl2000="1" url="https://fclm-portal.amazon.com/ppa/inspect/node/csv?nodeType=DS&amp;warehouseId=DDC4&amp;maxIntradayDays=1&amp;spanType=Intraday&amp;startDateIntraday=2020%2F09%2F16&amp;startHourIntraday=6&amp;startMinuteIntraday=0&amp;endDateIntraday=2020%2F09%2F16&amp;endHourIntraday=7&amp;endMinuteIntraday=0" htmlTables="1" htmlFormat="all"/>
  </connection>
  <connection id="830" name="Connection949" type="4" refreshedVersion="6" background="1" saveData="1">
    <webPr xl2000="1" url="https://fclm-portal.amazon.com/ppa/inspect/node/csv?nodeType=DS&amp;warehouseId=DDC4&amp;maxIntradayDays=1&amp;spanType=Intraday&amp;startDateIntraday=2020%2F08%2F21&amp;startHourIntraday=6&amp;startMinuteIntraday=0&amp;endDateIntraday=2020%2F08%2F21&amp;endHourIntraday=7&amp;endMinuteIntraday=0" htmlTables="1" htmlFormat="all"/>
  </connection>
  <connection id="831" name="Connection950" type="4" refreshedVersion="6" background="1" saveData="1">
    <webPr xl2000="1" url="https://fclm-portal.amazon.com/ppa/inspect/node/csv?nodeType=DS&amp;warehouseId=DDC4&amp;maxIntradayDays=1&amp;spanType=Intraday&amp;startDateIntraday=2020%2F08%2F13&amp;startHourIntraday=6&amp;startMinuteIntraday=0&amp;endDateIntraday=2020%2F08%2F13&amp;endHourIntraday=7&amp;endMinuteIntraday=0" htmlTables="1" htmlFormat="all"/>
  </connection>
  <connection id="832" name="Connection951" type="4" refreshedVersion="6" background="1" saveData="1">
    <webPr xl2000="1" url="https://fclm-portal.amazon.com/ppa/inspect/node/csv?nodeType=DS&amp;warehouseId=DDC4&amp;maxIntradayDays=1&amp;spanType=Intraday&amp;startDateIntraday=2020%2F08%2F13&amp;startHourIntraday=6&amp;startMinuteIntraday=0&amp;endDateIntraday=2020%2F08%2F13&amp;endHourIntraday=7&amp;endMinuteIntraday=0" htmlTables="1" htmlFormat="all"/>
  </connection>
  <connection id="833" name="Connection99" type="4" refreshedVersion="6" background="1" saveData="1">
    <webPr xl2000="1" url="https://fclm-portal.amazon.com/ppa/inspect/node/csv?nodeType=DS&amp;warehouseId=DPD1&amp;maxIntradayDays=1&amp;spanType=Intraday&amp;startDateIntraday=2020%2F06%2F03&amp;startHourIntraday=19&amp;startMinuteIntraday=0&amp;endDateIntraday=2020%2F06%2F03&amp;endHourIntraday=20&amp;endMinuteIntraday=0" htmlTables="1" htmlFormat="all"/>
  </connection>
</connections>
</file>

<file path=xl/sharedStrings.xml><?xml version="1.0" encoding="utf-8"?>
<sst xmlns="http://schemas.openxmlformats.org/spreadsheetml/2006/main" count="5577" uniqueCount="249">
  <si>
    <t>SWA</t>
  </si>
  <si>
    <t>Pick to Buffer</t>
  </si>
  <si>
    <t>Date</t>
  </si>
  <si>
    <t>Delta</t>
  </si>
  <si>
    <t>Total</t>
  </si>
  <si>
    <t>Hours</t>
  </si>
  <si>
    <t>Inbound Line Loader</t>
  </si>
  <si>
    <t>Induct</t>
  </si>
  <si>
    <t xml:space="preserve">Pusher </t>
  </si>
  <si>
    <t>Diverter</t>
  </si>
  <si>
    <t>UTR Dispatch</t>
  </si>
  <si>
    <t>Yard Marshall</t>
  </si>
  <si>
    <t>RTS</t>
  </si>
  <si>
    <t>5s/Overstaffing (HC only)</t>
  </si>
  <si>
    <t>Headcount</t>
  </si>
  <si>
    <t xml:space="preserve">Inbound Dock W/S </t>
  </si>
  <si>
    <t>PS / Quality / Process Guide</t>
  </si>
  <si>
    <t>Stow</t>
  </si>
  <si>
    <t>Training Ambassador</t>
  </si>
  <si>
    <t xml:space="preserve">Training Ambassador </t>
  </si>
  <si>
    <t>Pusher</t>
  </si>
  <si>
    <t>Notes</t>
  </si>
  <si>
    <t xml:space="preserve">Container Building </t>
  </si>
  <si>
    <t>UTR Ops Supervisor / SA</t>
  </si>
  <si>
    <t xml:space="preserve">Safety </t>
  </si>
  <si>
    <t>Non-Scan Stow</t>
  </si>
  <si>
    <t>Non-Scan Pick &amp; Stage</t>
  </si>
  <si>
    <t>Container Building</t>
  </si>
  <si>
    <t>Inbound - Total</t>
  </si>
  <si>
    <t>Sort - Total</t>
  </si>
  <si>
    <t>Indirect - Total</t>
  </si>
  <si>
    <t>Safety</t>
  </si>
  <si>
    <t>Pick &amp; Stage</t>
  </si>
  <si>
    <t>Start:</t>
  </si>
  <si>
    <t>End:</t>
  </si>
  <si>
    <t>Plan</t>
  </si>
  <si>
    <t>Shift Schedule</t>
  </si>
  <si>
    <t>Shift Hours</t>
  </si>
  <si>
    <t>Plan Hourly (FPH)</t>
  </si>
  <si>
    <t>Act Hourly (FPH)</t>
  </si>
  <si>
    <t>Plan Cumulative</t>
  </si>
  <si>
    <t>Act Cumulative</t>
  </si>
  <si>
    <t>Act Hourly</t>
  </si>
  <si>
    <t>At Station</t>
  </si>
  <si>
    <t>Rates</t>
  </si>
  <si>
    <t>Productivity</t>
  </si>
  <si>
    <t>Hourly PPH</t>
  </si>
  <si>
    <t>Cumulative PPH</t>
  </si>
  <si>
    <t>Actual Hours</t>
  </si>
  <si>
    <t>Pick and Stage</t>
  </si>
  <si>
    <t>5s/Overstaffing</t>
  </si>
  <si>
    <t>PS/Quality/PG</t>
  </si>
  <si>
    <t>Inbound DS</t>
  </si>
  <si>
    <t>Sortation DS</t>
  </si>
  <si>
    <t>Outbound DS</t>
  </si>
  <si>
    <t>UTR General</t>
  </si>
  <si>
    <t>Site Support</t>
  </si>
  <si>
    <t>OTR</t>
  </si>
  <si>
    <t>ADA</t>
  </si>
  <si>
    <t>Special Use</t>
  </si>
  <si>
    <t>Inbound Dock W/S</t>
  </si>
  <si>
    <t>Induct Line Loader</t>
  </si>
  <si>
    <t>Stow Bag Replenishment</t>
  </si>
  <si>
    <t>UTR OPS Supervisor / SA</t>
  </si>
  <si>
    <t>SWA Indirect</t>
  </si>
  <si>
    <t>Facility Maintenance</t>
  </si>
  <si>
    <t>HR</t>
  </si>
  <si>
    <t>Learning Coordinator</t>
  </si>
  <si>
    <t>OTR Supervisor / Shift Assistant</t>
  </si>
  <si>
    <t>OTR CS DSL</t>
  </si>
  <si>
    <t>OTR Support</t>
  </si>
  <si>
    <t>AMZL Delivery Associate</t>
  </si>
  <si>
    <t>On-Road Support/Indirects</t>
  </si>
  <si>
    <t>Training / Safety School</t>
  </si>
  <si>
    <t>5S</t>
  </si>
  <si>
    <t>NonCon/HB Sort</t>
  </si>
  <si>
    <t>Induct Volume</t>
  </si>
  <si>
    <t>Stow Volume</t>
  </si>
  <si>
    <t>Enter date in MM/DD/YYYY format.</t>
  </si>
  <si>
    <t>Total Hours</t>
  </si>
  <si>
    <t>PS / Quality / PG</t>
  </si>
  <si>
    <t xml:space="preserve">Hourly Tracker </t>
  </si>
  <si>
    <t>Non Scan P&amp;S</t>
  </si>
  <si>
    <t>Stow Bag Replenish</t>
  </si>
  <si>
    <t>P&amp;S - Total</t>
  </si>
  <si>
    <t>Induct Line loader</t>
  </si>
  <si>
    <t>UTR Ops Supervisor/ SA</t>
  </si>
  <si>
    <t>Sort Indirect - Total</t>
  </si>
  <si>
    <t>Pick and Stage Total</t>
  </si>
  <si>
    <t>Stow Bag</t>
  </si>
  <si>
    <t>Pick &amp; Stage Total</t>
  </si>
  <si>
    <t>Overall Totals</t>
  </si>
  <si>
    <t>PFSD</t>
  </si>
  <si>
    <t xml:space="preserve"> </t>
  </si>
  <si>
    <t>Main Processes</t>
  </si>
  <si>
    <t>Core Processes</t>
  </si>
  <si>
    <t>Labor Process Name</t>
  </si>
  <si>
    <t>Labor Process ID</t>
  </si>
  <si>
    <t>Attributes</t>
  </si>
  <si>
    <t>Actual Units</t>
  </si>
  <si>
    <t>Actual Quantity</t>
  </si>
  <si>
    <t>Actual UPH</t>
  </si>
  <si>
    <t>Actual QPH</t>
  </si>
  <si>
    <t>Plan Type</t>
  </si>
  <si>
    <t>Plan UPH</t>
  </si>
  <si>
    <t>Plan Hours</t>
  </si>
  <si>
    <t>Percent to Plan</t>
  </si>
  <si>
    <t>Hours Difference</t>
  </si>
  <si>
    <t>In-Station Core</t>
  </si>
  <si>
    <t>Rate</t>
  </si>
  <si>
    <t>UNKNOWN.UNKNOWN</t>
  </si>
  <si>
    <t>UNKNOWN.Small</t>
  </si>
  <si>
    <t>UNKNOWN.Non-Conveyable Plus</t>
  </si>
  <si>
    <t>UNKNOWN.Non-Conveyable</t>
  </si>
  <si>
    <t>UNKNOWN.Medium</t>
  </si>
  <si>
    <t>UNKNOWN.Large</t>
  </si>
  <si>
    <t>UNKNOWN.Heavy/Bulky Plus</t>
  </si>
  <si>
    <t>UNKNOWN.Heavy/Bulky</t>
  </si>
  <si>
    <t>UNKNOWN.Extra Small</t>
  </si>
  <si>
    <t>UNKNOWN.Extra Large</t>
  </si>
  <si>
    <t>UNKNOWN</t>
  </si>
  <si>
    <t>Master Session.UNKNOWN</t>
  </si>
  <si>
    <t>Master Session.Small</t>
  </si>
  <si>
    <t>Master Session.Non-Conveyable Plus</t>
  </si>
  <si>
    <t>Master Session.Non-Conveyable</t>
  </si>
  <si>
    <t>Master Session.Medium</t>
  </si>
  <si>
    <t>Master Session.Large</t>
  </si>
  <si>
    <t>Master Session.Heavy/Bulky Plus</t>
  </si>
  <si>
    <t>Master Session.Heavy/Bulky</t>
  </si>
  <si>
    <t>Master Session.Extra Small</t>
  </si>
  <si>
    <t>Master Session.Extra Large</t>
  </si>
  <si>
    <t>Master Session</t>
  </si>
  <si>
    <t>UNKNOWN.Tote</t>
  </si>
  <si>
    <t>Master Session.Tote</t>
  </si>
  <si>
    <t>UNKNOWN.Pallet</t>
  </si>
  <si>
    <t>Master Session.Pallet</t>
  </si>
  <si>
    <t>UNKNOWN.Package</t>
  </si>
  <si>
    <t>Master Session.Package</t>
  </si>
  <si>
    <t>UNKNOWN.Gaylord</t>
  </si>
  <si>
    <t>Master Session.Gaylord</t>
  </si>
  <si>
    <t>UNKNOWN.Bag</t>
  </si>
  <si>
    <t>Master Session.Bag</t>
  </si>
  <si>
    <t>Pick &amp; Stage - Stager</t>
  </si>
  <si>
    <t>UNKNOWN.UNKNOWN.UNKNOWN</t>
  </si>
  <si>
    <t>Master Session.UNKNOWN.UNKNOWN</t>
  </si>
  <si>
    <t>UNKNOWN.UNKNOWN.Pallet</t>
  </si>
  <si>
    <t>Master Session.UNKNOWN.Pallet</t>
  </si>
  <si>
    <t>UNKNOWN.UNKNOWN.Gaylord</t>
  </si>
  <si>
    <t>Master Session.UNKNOWN.Gaylord</t>
  </si>
  <si>
    <t>UNKNOWN.UNKNOWN.Bag</t>
  </si>
  <si>
    <t>Master Session.UNKNOWN.Bag</t>
  </si>
  <si>
    <t>UNKNOWN.UNKNOWN.AMZLRoute</t>
  </si>
  <si>
    <t>Master Session.UNKNOWN.AMZLRoute</t>
  </si>
  <si>
    <t>UNKNOWN.Tote.UNKNOWN</t>
  </si>
  <si>
    <t>Master Session.Tote.UNKNOWN</t>
  </si>
  <si>
    <t>UNKNOWN.Tote.Pallet</t>
  </si>
  <si>
    <t>Master Session.Tote.Pallet</t>
  </si>
  <si>
    <t>UNKNOWN.Tote.Gaylord</t>
  </si>
  <si>
    <t>Master Session.Tote.Gaylord</t>
  </si>
  <si>
    <t>UNKNOWN.Tote.Bag</t>
  </si>
  <si>
    <t>Master Session.Tote.Bag</t>
  </si>
  <si>
    <t>UNKNOWN.Tote.AMZLRoute</t>
  </si>
  <si>
    <t>Master Session.Tote.AMZLRoute</t>
  </si>
  <si>
    <t>UNKNOWN.Pallet.UNKNOWN</t>
  </si>
  <si>
    <t>Master Session.Pallet.UNKNOWN</t>
  </si>
  <si>
    <t>UNKNOWN.Pallet.Pallet</t>
  </si>
  <si>
    <t>Master Session.Pallet.Pallet</t>
  </si>
  <si>
    <t>UNKNOWN.Pallet.Gaylord</t>
  </si>
  <si>
    <t>Master Session.Pallet.Gaylord</t>
  </si>
  <si>
    <t>UNKNOWN.Pallet.Bag</t>
  </si>
  <si>
    <t>Master Session.Pallet.Bag</t>
  </si>
  <si>
    <t>UNKNOWN.Pallet.AMZLRoute</t>
  </si>
  <si>
    <t>Master Session.Pallet.AMZLRoute</t>
  </si>
  <si>
    <t>UNKNOWN.Package.UNKNOWN</t>
  </si>
  <si>
    <t>Master Session.Package.UNKNOWN</t>
  </si>
  <si>
    <t>UNKNOWN.Package.Pallet</t>
  </si>
  <si>
    <t>Master Session.Package.Pallet</t>
  </si>
  <si>
    <t>UNKNOWN.Package.Gaylord</t>
  </si>
  <si>
    <t>Master Session.Package.Gaylord</t>
  </si>
  <si>
    <t>UNKNOWN.Package.Bag</t>
  </si>
  <si>
    <t>Master Session.Package.Bag</t>
  </si>
  <si>
    <t>UNKNOWN.Package.AMZLRoute</t>
  </si>
  <si>
    <t>Master Session.Package.AMZLRoute</t>
  </si>
  <si>
    <t>UNKNOWN.Gaylord.UNKNOWN</t>
  </si>
  <si>
    <t>Master Session.Gaylord.UNKNOWN</t>
  </si>
  <si>
    <t>UNKNOWN.Gaylord.Pallet</t>
  </si>
  <si>
    <t>Master Session.Gaylord.Pallet</t>
  </si>
  <si>
    <t>UNKNOWN.Gaylord.Gaylord</t>
  </si>
  <si>
    <t>Master Session.Gaylord.Gaylord</t>
  </si>
  <si>
    <t>UNKNOWN.Gaylord.Bag</t>
  </si>
  <si>
    <t>Master Session.Gaylord.Bag</t>
  </si>
  <si>
    <t>UNKNOWN.Gaylord.AMZLRoute</t>
  </si>
  <si>
    <t>Master Session.Gaylord.AMZLRoute</t>
  </si>
  <si>
    <t>UNKNOWN.Cart.UNKNOWN</t>
  </si>
  <si>
    <t>Master Session.Cart.UNKNOWN</t>
  </si>
  <si>
    <t>UNKNOWN.Cart.Pallet</t>
  </si>
  <si>
    <t>Master Session.Cart.Pallet</t>
  </si>
  <si>
    <t>UNKNOWN.Cart.Gaylord</t>
  </si>
  <si>
    <t>Master Session.Cart.Gaylord</t>
  </si>
  <si>
    <t>UNKNOWN.Cart.Bag</t>
  </si>
  <si>
    <t>Master Session.Cart.Bag</t>
  </si>
  <si>
    <t>UNKNOWN.Cart.AMZLRoute</t>
  </si>
  <si>
    <t>Master Session.Cart.AMZLRoute</t>
  </si>
  <si>
    <t>UNKNOWN.Bag.UNKNOWN</t>
  </si>
  <si>
    <t>Master Session.Bag.UNKNOWN</t>
  </si>
  <si>
    <t>UNKNOWN.Bag.Pallet</t>
  </si>
  <si>
    <t>Master Session.Bag.Pallet</t>
  </si>
  <si>
    <t>UNKNOWN.Bag.Gaylord</t>
  </si>
  <si>
    <t>Master Session.Bag.Gaylord</t>
  </si>
  <si>
    <t>UNKNOWN.Bag.Bag</t>
  </si>
  <si>
    <t>Master Session.Bag.Bag</t>
  </si>
  <si>
    <t>UNKNOWN.Bag.AMZLRoute</t>
  </si>
  <si>
    <t>Master Session.Bag.AMZLRoute</t>
  </si>
  <si>
    <t>Reverse Logistics</t>
  </si>
  <si>
    <t>Reverse Stow</t>
  </si>
  <si>
    <t>Start Date:</t>
  </si>
  <si>
    <t>Start Time:</t>
  </si>
  <si>
    <t>- Enter start time in military time, for example "13:00" or "09:45"</t>
  </si>
  <si>
    <t>End Date:</t>
  </si>
  <si>
    <t>End Time:</t>
  </si>
  <si>
    <t>- Enter end time in military time, for example "13:00" or "09:45"</t>
  </si>
  <si>
    <t>- Please enter End Date in MM/DD/YYYY format:</t>
  </si>
  <si>
    <t>- Please enter Start Date in MM/DD/YYYY format:</t>
  </si>
  <si>
    <t>Off Task</t>
  </si>
  <si>
    <t>09:00</t>
  </si>
  <si>
    <t>Intraday reports are limited to a 24-hour time window.</t>
  </si>
  <si>
    <t>Labor Management</t>
  </si>
  <si>
    <t xml:space="preserve">Warehouse </t>
  </si>
  <si>
    <t>Report Date Range Day Week Month</t>
  </si>
  <si>
    <t>Intraday</t>
  </si>
  <si>
    <t>to</t>
  </si>
  <si>
    <t>PickStage</t>
  </si>
  <si>
    <t>MCO</t>
  </si>
  <si>
    <t>Cycle0</t>
  </si>
  <si>
    <t>Cycle1</t>
  </si>
  <si>
    <t>HC per Hour</t>
  </si>
  <si>
    <t>In Station PPH</t>
  </si>
  <si>
    <t>Max Range:</t>
  </si>
  <si>
    <t>04:00 - 11:00</t>
  </si>
  <si>
    <t>06:00 - 14:00</t>
  </si>
  <si>
    <t>16:30 - 21:00</t>
  </si>
  <si>
    <t>13:00 - 19:00</t>
  </si>
  <si>
    <t>16:30 - 05:00</t>
  </si>
  <si>
    <t>17:00</t>
  </si>
  <si>
    <t>06:00</t>
  </si>
  <si>
    <t>14:00</t>
  </si>
  <si>
    <t>17:30</t>
  </si>
  <si>
    <t>21:00</t>
  </si>
  <si>
    <t>Total PPH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</si>
</sst>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;@"/>
    <numFmt numFmtId="165" formatCode="0.0"/>
    <numFmt numFmtId="166" formatCode="#,##0.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DE262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2" tint="-9.9978637043366805E-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79998168889431442"/>
        <bgColor indexed="64"/>
      </patternFill>
    </fill>
  </fills>
  <borders count="1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indexed="64"/>
      </right>
      <top style="medium">
        <color indexed="64"/>
      </top>
      <bottom style="medium">
        <color auto="1"/>
      </bottom>
      <diagonal/>
    </border>
    <border>
      <left style="thick">
        <color auto="1"/>
      </left>
      <right style="thick">
        <color indexed="64"/>
      </right>
      <top/>
      <bottom style="medium">
        <color auto="1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n">
        <color indexed="64"/>
      </right>
      <top style="medium">
        <color indexed="64"/>
      </top>
      <bottom/>
      <diagonal/>
    </border>
    <border>
      <left style="thick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thick">
        <color auto="1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0" borderId="0"/>
    <xf numFmtId="0" fontId="13" fillId="0" borderId="0" applyNumberFormat="0" applyFill="0" applyBorder="0" applyAlignment="0" applyProtection="0"/>
    <xf numFmtId="0" fontId="15" fillId="0" borderId="0"/>
    <xf numFmtId="0" fontId="17" fillId="7" borderId="0" applyNumberFormat="0" applyBorder="0" applyAlignment="0" applyProtection="0"/>
  </cellStyleXfs>
  <cellXfs count="491">
    <xf numFmtId="0" fontId="0" fillId="0" borderId="0" xfId="0"/>
    <xf numFmtId="0" fontId="0" fillId="5" borderId="0" xfId="0" applyFont="1" applyFill="1"/>
    <xf numFmtId="0" fontId="0" fillId="0" borderId="0" xfId="0" applyFont="1"/>
    <xf numFmtId="0" fontId="5" fillId="3" borderId="28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20" fontId="5" fillId="3" borderId="33" xfId="0" applyNumberFormat="1" applyFont="1" applyFill="1" applyBorder="1" applyAlignment="1">
      <alignment horizontal="center" vertical="center" wrapText="1"/>
    </xf>
    <xf numFmtId="0" fontId="0" fillId="5" borderId="0" xfId="0" applyFont="1" applyFill="1" applyAlignment="1">
      <alignment horizontal="center" vertical="center" wrapText="1"/>
    </xf>
    <xf numFmtId="9" fontId="0" fillId="5" borderId="0" xfId="1" applyFont="1" applyFill="1" applyBorder="1" applyAlignment="1">
      <alignment horizontal="center" vertical="center" wrapText="1"/>
    </xf>
    <xf numFmtId="0" fontId="5" fillId="11" borderId="58" xfId="0" applyFont="1" applyFill="1" applyBorder="1" applyAlignment="1" applyProtection="1">
      <alignment horizontal="center" vertical="center" wrapText="1"/>
    </xf>
    <xf numFmtId="0" fontId="5" fillId="11" borderId="59" xfId="0" applyFont="1" applyFill="1" applyBorder="1" applyAlignment="1" applyProtection="1">
      <alignment horizontal="center" vertical="center" wrapText="1"/>
    </xf>
    <xf numFmtId="0" fontId="5" fillId="11" borderId="61" xfId="0" applyFont="1" applyFill="1" applyBorder="1" applyAlignment="1" applyProtection="1">
      <alignment horizontal="center" vertical="center" wrapText="1"/>
    </xf>
    <xf numFmtId="0" fontId="5" fillId="11" borderId="58" xfId="0" applyFont="1" applyFill="1" applyBorder="1" applyAlignment="1">
      <alignment horizontal="center" vertical="center" wrapText="1"/>
    </xf>
    <xf numFmtId="0" fontId="1" fillId="7" borderId="0" xfId="5" applyNumberFormat="1" applyFont="1" applyBorder="1" applyAlignment="1" applyProtection="1">
      <alignment horizontal="center" vertical="center" wrapText="1"/>
      <protection locked="0"/>
    </xf>
    <xf numFmtId="0" fontId="0" fillId="13" borderId="0" xfId="0" applyFont="1" applyFill="1"/>
    <xf numFmtId="0" fontId="0" fillId="13" borderId="0" xfId="0" applyFill="1"/>
    <xf numFmtId="0" fontId="0" fillId="12" borderId="0" xfId="0" applyFont="1" applyFill="1"/>
    <xf numFmtId="0" fontId="0" fillId="12" borderId="0" xfId="0" applyFont="1" applyFill="1" applyAlignment="1">
      <alignment horizontal="center" vertical="center" wrapText="1"/>
    </xf>
    <xf numFmtId="9" fontId="0" fillId="12" borderId="0" xfId="1" applyFont="1" applyFill="1" applyBorder="1" applyAlignment="1">
      <alignment horizontal="center" vertical="center" wrapText="1"/>
    </xf>
    <xf numFmtId="0" fontId="11" fillId="8" borderId="43" xfId="0" applyFont="1" applyFill="1" applyBorder="1" applyAlignment="1">
      <alignment horizontal="center" vertical="center"/>
    </xf>
    <xf numFmtId="3" fontId="4" fillId="8" borderId="0" xfId="0" applyNumberFormat="1" applyFont="1" applyFill="1" applyBorder="1" applyAlignment="1" applyProtection="1">
      <alignment horizontal="center" vertical="center" wrapText="1"/>
    </xf>
    <xf numFmtId="3" fontId="4" fillId="12" borderId="0" xfId="0" applyNumberFormat="1" applyFont="1" applyFill="1" applyBorder="1" applyAlignment="1" applyProtection="1">
      <alignment horizontal="center" vertical="center" wrapText="1"/>
    </xf>
    <xf numFmtId="3" fontId="4" fillId="12" borderId="53" xfId="0" applyNumberFormat="1" applyFont="1" applyFill="1" applyBorder="1" applyAlignment="1" applyProtection="1">
      <alignment horizontal="center" vertical="center" wrapText="1"/>
    </xf>
    <xf numFmtId="3" fontId="22" fillId="5" borderId="0" xfId="0" applyNumberFormat="1" applyFont="1" applyFill="1" applyBorder="1" applyAlignment="1" applyProtection="1">
      <alignment horizontal="center" vertical="center" wrapText="1"/>
    </xf>
    <xf numFmtId="3" fontId="22" fillId="5" borderId="33" xfId="0" applyNumberFormat="1" applyFont="1" applyFill="1" applyBorder="1" applyAlignment="1" applyProtection="1">
      <alignment horizontal="center" vertical="center" wrapText="1"/>
    </xf>
    <xf numFmtId="3" fontId="22" fillId="5" borderId="34" xfId="0" applyNumberFormat="1" applyFont="1" applyFill="1" applyBorder="1" applyAlignment="1" applyProtection="1">
      <alignment horizontal="center" vertical="center" wrapText="1"/>
    </xf>
    <xf numFmtId="3" fontId="22" fillId="5" borderId="35" xfId="0" applyNumberFormat="1" applyFont="1" applyFill="1" applyBorder="1" applyAlignment="1" applyProtection="1">
      <alignment horizontal="center" vertical="center" wrapText="1"/>
    </xf>
    <xf numFmtId="2" fontId="22" fillId="5" borderId="0" xfId="0" applyNumberFormat="1" applyFont="1" applyFill="1" applyBorder="1" applyAlignment="1" applyProtection="1">
      <alignment horizontal="center" vertical="center" wrapText="1"/>
    </xf>
    <xf numFmtId="3" fontId="7" fillId="5" borderId="0" xfId="0" applyNumberFormat="1" applyFont="1" applyFill="1" applyBorder="1" applyAlignment="1" applyProtection="1">
      <alignment horizontal="center" vertical="center" wrapText="1"/>
    </xf>
    <xf numFmtId="3" fontId="7" fillId="5" borderId="32" xfId="0" applyNumberFormat="1" applyFont="1" applyFill="1" applyBorder="1" applyAlignment="1" applyProtection="1">
      <alignment horizontal="center" vertical="center" wrapText="1"/>
    </xf>
    <xf numFmtId="0" fontId="22" fillId="3" borderId="0" xfId="0" applyFont="1" applyFill="1" applyBorder="1" applyAlignment="1">
      <alignment horizontal="center" vertical="center" wrapText="1"/>
    </xf>
    <xf numFmtId="164" fontId="22" fillId="3" borderId="0" xfId="0" applyNumberFormat="1" applyFont="1" applyFill="1" applyBorder="1" applyAlignment="1">
      <alignment horizontal="center" vertical="center" wrapText="1"/>
    </xf>
    <xf numFmtId="0" fontId="6" fillId="7" borderId="0" xfId="5" applyNumberFormat="1" applyFont="1" applyBorder="1" applyAlignment="1" applyProtection="1">
      <alignment horizontal="center" vertical="center" wrapText="1"/>
      <protection locked="0"/>
    </xf>
    <xf numFmtId="0" fontId="5" fillId="2" borderId="3" xfId="0" applyFont="1" applyFill="1" applyBorder="1" applyAlignment="1">
      <alignment horizontal="center" vertical="center"/>
    </xf>
    <xf numFmtId="14" fontId="0" fillId="2" borderId="9" xfId="0" applyNumberFormat="1" applyFont="1" applyFill="1" applyBorder="1" applyAlignment="1">
      <alignment horizontal="center" vertical="center"/>
    </xf>
    <xf numFmtId="14" fontId="0" fillId="2" borderId="45" xfId="0" applyNumberFormat="1" applyFont="1" applyFill="1" applyBorder="1" applyAlignment="1">
      <alignment horizontal="center" vertical="center"/>
    </xf>
    <xf numFmtId="0" fontId="5" fillId="2" borderId="43" xfId="0" applyFont="1" applyFill="1" applyBorder="1" applyAlignment="1">
      <alignment horizontal="right" vertical="center"/>
    </xf>
    <xf numFmtId="0" fontId="5" fillId="2" borderId="66" xfId="0" applyFont="1" applyFill="1" applyBorder="1" applyAlignment="1">
      <alignment horizontal="right" vertical="center"/>
    </xf>
    <xf numFmtId="0" fontId="0" fillId="2" borderId="52" xfId="0" applyFont="1" applyFill="1" applyBorder="1" applyAlignment="1">
      <alignment horizontal="center" vertical="center"/>
    </xf>
    <xf numFmtId="0" fontId="18" fillId="9" borderId="40" xfId="0" applyFont="1" applyFill="1" applyBorder="1" applyAlignment="1">
      <alignment horizontal="center" vertical="center" wrapText="1"/>
    </xf>
    <xf numFmtId="164" fontId="11" fillId="9" borderId="72" xfId="0" applyNumberFormat="1" applyFont="1" applyFill="1" applyBorder="1" applyAlignment="1" applyProtection="1">
      <alignment vertical="center" wrapText="1"/>
    </xf>
    <xf numFmtId="0" fontId="11" fillId="9" borderId="72" xfId="0" applyFont="1" applyFill="1" applyBorder="1" applyAlignment="1" applyProtection="1">
      <alignment vertical="center" wrapText="1"/>
    </xf>
    <xf numFmtId="0" fontId="5" fillId="15" borderId="7" xfId="0" applyFont="1" applyFill="1" applyBorder="1" applyAlignment="1">
      <alignment horizontal="center" vertical="center" wrapText="1"/>
    </xf>
    <xf numFmtId="0" fontId="5" fillId="15" borderId="32" xfId="0" applyFont="1" applyFill="1" applyBorder="1" applyAlignment="1">
      <alignment horizontal="center" vertical="center" wrapText="1"/>
    </xf>
    <xf numFmtId="164" fontId="5" fillId="15" borderId="32" xfId="0" applyNumberFormat="1" applyFont="1" applyFill="1" applyBorder="1" applyAlignment="1">
      <alignment horizontal="center" vertical="center" wrapText="1"/>
    </xf>
    <xf numFmtId="164" fontId="0" fillId="15" borderId="32" xfId="0" applyNumberFormat="1" applyFont="1" applyFill="1" applyBorder="1" applyAlignment="1">
      <alignment horizontal="center" vertical="center" wrapText="1"/>
    </xf>
    <xf numFmtId="164" fontId="5" fillId="15" borderId="25" xfId="0" applyNumberFormat="1" applyFont="1" applyFill="1" applyBorder="1" applyAlignment="1">
      <alignment horizontal="center" vertical="center" wrapText="1"/>
    </xf>
    <xf numFmtId="0" fontId="0" fillId="16" borderId="0" xfId="0" applyFont="1" applyFill="1"/>
    <xf numFmtId="0" fontId="0" fillId="16" borderId="0" xfId="0" applyFont="1" applyFill="1" applyAlignment="1">
      <alignment horizontal="center" vertical="center" wrapText="1"/>
    </xf>
    <xf numFmtId="9" fontId="0" fillId="16" borderId="0" xfId="1" applyFont="1" applyFill="1" applyBorder="1" applyAlignment="1">
      <alignment horizontal="center" vertical="center" wrapText="1"/>
    </xf>
    <xf numFmtId="0" fontId="0" fillId="6" borderId="0" xfId="0" applyFont="1" applyFill="1"/>
    <xf numFmtId="0" fontId="5" fillId="6" borderId="0" xfId="0" applyFont="1" applyFill="1" applyAlignment="1">
      <alignment horizontal="right"/>
    </xf>
    <xf numFmtId="0" fontId="0" fillId="6" borderId="0" xfId="0" applyFont="1" applyFill="1" applyAlignment="1">
      <alignment horizontal="right"/>
    </xf>
    <xf numFmtId="164" fontId="0" fillId="6" borderId="0" xfId="0" applyNumberFormat="1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3" fontId="0" fillId="6" borderId="0" xfId="0" applyNumberFormat="1" applyFont="1" applyFill="1"/>
    <xf numFmtId="0" fontId="0" fillId="6" borderId="0" xfId="0" applyFont="1" applyFill="1" applyBorder="1" applyAlignment="1">
      <alignment horizontal="center" vertical="center" wrapText="1"/>
    </xf>
    <xf numFmtId="0" fontId="0" fillId="6" borderId="0" xfId="0" applyFont="1" applyFill="1" applyAlignment="1">
      <alignment horizontal="center" vertical="center" wrapText="1"/>
    </xf>
    <xf numFmtId="0" fontId="23" fillId="6" borderId="0" xfId="3" applyFont="1" applyFill="1"/>
    <xf numFmtId="0" fontId="26" fillId="6" borderId="0" xfId="0" applyFont="1" applyFill="1"/>
    <xf numFmtId="0" fontId="20" fillId="11" borderId="58" xfId="0" applyFont="1" applyFill="1" applyBorder="1" applyAlignment="1" applyProtection="1">
      <alignment horizontal="center" vertical="center"/>
    </xf>
    <xf numFmtId="0" fontId="20" fillId="11" borderId="58" xfId="0" applyFont="1" applyFill="1" applyBorder="1" applyAlignment="1" applyProtection="1">
      <alignment horizontal="center" vertical="center" wrapText="1"/>
    </xf>
    <xf numFmtId="0" fontId="27" fillId="11" borderId="58" xfId="0" applyFont="1" applyFill="1" applyBorder="1" applyAlignment="1" applyProtection="1">
      <alignment horizontal="center" vertical="center"/>
    </xf>
    <xf numFmtId="3" fontId="0" fillId="4" borderId="64" xfId="0" applyNumberFormat="1" applyFont="1" applyFill="1" applyBorder="1" applyAlignment="1">
      <alignment horizontal="center" vertical="center" wrapText="1"/>
    </xf>
    <xf numFmtId="164" fontId="5" fillId="15" borderId="75" xfId="0" applyNumberFormat="1" applyFont="1" applyFill="1" applyBorder="1" applyAlignment="1">
      <alignment vertical="center" wrapText="1"/>
    </xf>
    <xf numFmtId="3" fontId="22" fillId="4" borderId="58" xfId="0" applyNumberFormat="1" applyFont="1" applyFill="1" applyBorder="1" applyAlignment="1" applyProtection="1">
      <alignment horizontal="center" vertical="center" wrapText="1"/>
    </xf>
    <xf numFmtId="164" fontId="5" fillId="15" borderId="75" xfId="0" applyNumberFormat="1" applyFont="1" applyFill="1" applyBorder="1" applyAlignment="1" applyProtection="1">
      <alignment vertical="center" wrapText="1"/>
    </xf>
    <xf numFmtId="3" fontId="0" fillId="4" borderId="58" xfId="0" applyNumberFormat="1" applyFont="1" applyFill="1" applyBorder="1" applyAlignment="1" applyProtection="1">
      <alignment horizontal="center" vertical="center" wrapText="1"/>
    </xf>
    <xf numFmtId="164" fontId="5" fillId="9" borderId="75" xfId="0" applyNumberFormat="1" applyFont="1" applyFill="1" applyBorder="1" applyAlignment="1" applyProtection="1">
      <alignment vertical="center" wrapText="1"/>
    </xf>
    <xf numFmtId="9" fontId="0" fillId="6" borderId="0" xfId="1" applyFont="1" applyFill="1" applyBorder="1" applyAlignment="1">
      <alignment horizontal="center" vertical="center" wrapText="1"/>
    </xf>
    <xf numFmtId="0" fontId="11" fillId="8" borderId="52" xfId="0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right"/>
    </xf>
    <xf numFmtId="14" fontId="8" fillId="8" borderId="9" xfId="0" applyNumberFormat="1" applyFont="1" applyFill="1" applyBorder="1" applyAlignment="1">
      <alignment horizontal="center" vertical="center"/>
    </xf>
    <xf numFmtId="0" fontId="11" fillId="6" borderId="0" xfId="0" applyFont="1" applyFill="1"/>
    <xf numFmtId="14" fontId="11" fillId="8" borderId="9" xfId="0" applyNumberFormat="1" applyFont="1" applyFill="1" applyBorder="1" applyAlignment="1">
      <alignment horizontal="center" vertical="center"/>
    </xf>
    <xf numFmtId="3" fontId="11" fillId="6" borderId="0" xfId="0" applyNumberFormat="1" applyFont="1" applyFill="1" applyAlignment="1">
      <alignment horizontal="right"/>
    </xf>
    <xf numFmtId="0" fontId="28" fillId="6" borderId="0" xfId="3" applyFont="1" applyFill="1"/>
    <xf numFmtId="3" fontId="11" fillId="6" borderId="0" xfId="0" applyNumberFormat="1" applyFont="1" applyFill="1"/>
    <xf numFmtId="3" fontId="22" fillId="5" borderId="37" xfId="0" applyNumberFormat="1" applyFont="1" applyFill="1" applyBorder="1" applyAlignment="1" applyProtection="1">
      <alignment horizontal="center" vertical="center" wrapText="1"/>
    </xf>
    <xf numFmtId="0" fontId="22" fillId="3" borderId="57" xfId="0" applyFont="1" applyFill="1" applyBorder="1" applyAlignment="1">
      <alignment horizontal="center" vertical="center" wrapText="1"/>
    </xf>
    <xf numFmtId="20" fontId="22" fillId="3" borderId="68" xfId="0" applyNumberFormat="1" applyFont="1" applyFill="1" applyBorder="1" applyAlignment="1">
      <alignment horizontal="center" vertical="center" wrapText="1"/>
    </xf>
    <xf numFmtId="2" fontId="22" fillId="5" borderId="83" xfId="0" applyNumberFormat="1" applyFont="1" applyFill="1" applyBorder="1" applyAlignment="1" applyProtection="1">
      <alignment horizontal="center" vertical="center" wrapText="1"/>
    </xf>
    <xf numFmtId="0" fontId="0" fillId="6" borderId="0" xfId="0" applyFill="1"/>
    <xf numFmtId="0" fontId="16" fillId="6" borderId="0" xfId="0" applyFont="1" applyFill="1" applyBorder="1" applyAlignment="1">
      <alignment horizontal="center" vertical="center" wrapText="1"/>
    </xf>
    <xf numFmtId="0" fontId="13" fillId="6" borderId="0" xfId="3" applyFill="1"/>
    <xf numFmtId="0" fontId="5" fillId="6" borderId="0" xfId="0" applyFont="1" applyFill="1"/>
    <xf numFmtId="0" fontId="5" fillId="3" borderId="57" xfId="0" applyFont="1" applyFill="1" applyBorder="1" applyAlignment="1">
      <alignment horizontal="center" vertical="center" wrapText="1"/>
    </xf>
    <xf numFmtId="20" fontId="5" fillId="3" borderId="68" xfId="0" applyNumberFormat="1" applyFont="1" applyFill="1" applyBorder="1" applyAlignment="1">
      <alignment horizontal="center" vertical="center" wrapText="1"/>
    </xf>
    <xf numFmtId="0" fontId="9" fillId="17" borderId="0" xfId="0" applyFont="1" applyFill="1" applyAlignment="1">
      <alignment vertical="center" wrapText="1"/>
    </xf>
    <xf numFmtId="0" fontId="0" fillId="17" borderId="0" xfId="0" applyFill="1"/>
    <xf numFmtId="0" fontId="5" fillId="15" borderId="63" xfId="0" applyFont="1" applyFill="1" applyBorder="1" applyAlignment="1">
      <alignment horizontal="center" vertical="center" wrapText="1"/>
    </xf>
    <xf numFmtId="164" fontId="5" fillId="15" borderId="72" xfId="0" applyNumberFormat="1" applyFont="1" applyFill="1" applyBorder="1" applyAlignment="1">
      <alignment horizontal="center" vertical="center" wrapText="1"/>
    </xf>
    <xf numFmtId="0" fontId="18" fillId="15" borderId="32" xfId="0" applyFont="1" applyFill="1" applyBorder="1" applyAlignment="1">
      <alignment horizontal="center" vertical="center" wrapText="1"/>
    </xf>
    <xf numFmtId="164" fontId="2" fillId="15" borderId="32" xfId="0" applyNumberFormat="1" applyFont="1" applyFill="1" applyBorder="1" applyAlignment="1">
      <alignment horizontal="center" vertical="center" wrapText="1"/>
    </xf>
    <xf numFmtId="0" fontId="24" fillId="6" borderId="0" xfId="0" applyFont="1" applyFill="1"/>
    <xf numFmtId="0" fontId="13" fillId="6" borderId="0" xfId="3" applyFill="1" applyAlignment="1">
      <alignment wrapText="1"/>
    </xf>
    <xf numFmtId="0" fontId="9" fillId="8" borderId="52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12" fillId="8" borderId="43" xfId="0" applyFont="1" applyFill="1" applyBorder="1" applyAlignment="1">
      <alignment horizontal="right" vertical="center"/>
    </xf>
    <xf numFmtId="14" fontId="9" fillId="8" borderId="9" xfId="0" applyNumberFormat="1" applyFont="1" applyFill="1" applyBorder="1" applyAlignment="1">
      <alignment horizontal="center" vertical="center"/>
    </xf>
    <xf numFmtId="3" fontId="6" fillId="4" borderId="28" xfId="0" applyNumberFormat="1" applyFont="1" applyFill="1" applyBorder="1" applyAlignment="1">
      <alignment horizontal="center" vertical="center" wrapText="1"/>
    </xf>
    <xf numFmtId="3" fontId="22" fillId="4" borderId="28" xfId="0" applyNumberFormat="1" applyFont="1" applyFill="1" applyBorder="1" applyAlignment="1" applyProtection="1">
      <alignment horizontal="center" vertical="center" wrapText="1"/>
    </xf>
    <xf numFmtId="0" fontId="18" fillId="15" borderId="63" xfId="0" applyFont="1" applyFill="1" applyBorder="1" applyAlignment="1">
      <alignment horizontal="center" vertical="center" wrapText="1"/>
    </xf>
    <xf numFmtId="164" fontId="18" fillId="15" borderId="63" xfId="0" applyNumberFormat="1" applyFont="1" applyFill="1" applyBorder="1" applyAlignment="1">
      <alignment vertical="center" wrapText="1"/>
    </xf>
    <xf numFmtId="0" fontId="5" fillId="11" borderId="70" xfId="0" applyFont="1" applyFill="1" applyBorder="1" applyAlignment="1">
      <alignment horizontal="center" vertical="center" wrapText="1"/>
    </xf>
    <xf numFmtId="0" fontId="5" fillId="11" borderId="70" xfId="0" applyFont="1" applyFill="1" applyBorder="1" applyAlignment="1" applyProtection="1">
      <alignment horizontal="center" vertical="center" wrapText="1"/>
    </xf>
    <xf numFmtId="0" fontId="5" fillId="11" borderId="57" xfId="0" applyFont="1" applyFill="1" applyBorder="1" applyAlignment="1" applyProtection="1">
      <alignment horizontal="center" vertical="center" wrapText="1"/>
    </xf>
    <xf numFmtId="0" fontId="5" fillId="11" borderId="63" xfId="0" applyFont="1" applyFill="1" applyBorder="1" applyAlignment="1" applyProtection="1">
      <alignment horizontal="center" vertical="center" wrapText="1"/>
    </xf>
    <xf numFmtId="0" fontId="25" fillId="7" borderId="53" xfId="5" applyNumberFormat="1" applyFont="1" applyBorder="1" applyAlignment="1" applyProtection="1">
      <alignment horizontal="center" vertical="center" wrapText="1"/>
      <protection locked="0"/>
    </xf>
    <xf numFmtId="0" fontId="3" fillId="7" borderId="71" xfId="5" applyNumberFormat="1" applyFont="1" applyBorder="1" applyAlignment="1" applyProtection="1">
      <alignment horizontal="center" vertical="center" wrapText="1"/>
      <protection locked="0"/>
    </xf>
    <xf numFmtId="0" fontId="0" fillId="6" borderId="0" xfId="0" applyFont="1" applyFill="1" applyAlignment="1">
      <alignment horizontal="center" vertical="center"/>
    </xf>
    <xf numFmtId="0" fontId="0" fillId="13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4" fillId="6" borderId="0" xfId="3" applyFont="1" applyFill="1" applyAlignment="1">
      <alignment horizontal="center" vertical="center"/>
    </xf>
    <xf numFmtId="0" fontId="6" fillId="6" borderId="0" xfId="0" applyFont="1" applyFill="1" applyBorder="1" applyAlignment="1">
      <alignment vertical="top" wrapText="1"/>
    </xf>
    <xf numFmtId="164" fontId="11" fillId="9" borderId="32" xfId="0" applyNumberFormat="1" applyFont="1" applyFill="1" applyBorder="1" applyAlignment="1">
      <alignment vertical="center" wrapText="1"/>
    </xf>
    <xf numFmtId="164" fontId="8" fillId="6" borderId="0" xfId="0" applyNumberFormat="1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3" fontId="22" fillId="5" borderId="36" xfId="0" applyNumberFormat="1" applyFont="1" applyFill="1" applyBorder="1" applyAlignment="1" applyProtection="1">
      <alignment horizontal="center" vertical="center" wrapText="1"/>
    </xf>
    <xf numFmtId="3" fontId="22" fillId="5" borderId="44" xfId="0" applyNumberFormat="1" applyFont="1" applyFill="1" applyBorder="1" applyAlignment="1" applyProtection="1">
      <alignment horizontal="center" vertical="center" wrapText="1"/>
    </xf>
    <xf numFmtId="3" fontId="22" fillId="5" borderId="9" xfId="0" applyNumberFormat="1" applyFont="1" applyFill="1" applyBorder="1" applyAlignment="1" applyProtection="1">
      <alignment horizontal="center" vertical="center" wrapText="1"/>
    </xf>
    <xf numFmtId="3" fontId="22" fillId="5" borderId="30" xfId="0" applyNumberFormat="1" applyFont="1" applyFill="1" applyBorder="1" applyAlignment="1" applyProtection="1">
      <alignment horizontal="center" vertical="center" wrapText="1"/>
    </xf>
    <xf numFmtId="3" fontId="22" fillId="5" borderId="42" xfId="0" applyNumberFormat="1" applyFont="1" applyFill="1" applyBorder="1" applyAlignment="1" applyProtection="1">
      <alignment horizontal="center" vertical="center" wrapText="1"/>
    </xf>
    <xf numFmtId="3" fontId="22" fillId="5" borderId="38" xfId="0" applyNumberFormat="1" applyFont="1" applyFill="1" applyBorder="1" applyAlignment="1" applyProtection="1">
      <alignment horizontal="center" vertical="center" wrapText="1"/>
    </xf>
    <xf numFmtId="3" fontId="22" fillId="5" borderId="43" xfId="0" applyNumberFormat="1" applyFont="1" applyFill="1" applyBorder="1" applyAlignment="1" applyProtection="1">
      <alignment horizontal="center" vertical="center" wrapText="1"/>
    </xf>
    <xf numFmtId="0" fontId="5" fillId="11" borderId="84" xfId="0" applyFont="1" applyFill="1" applyBorder="1" applyAlignment="1" applyProtection="1">
      <alignment horizontal="center" vertical="center" wrapText="1"/>
    </xf>
    <xf numFmtId="3" fontId="22" fillId="5" borderId="14" xfId="0" applyNumberFormat="1" applyFont="1" applyFill="1" applyBorder="1" applyAlignment="1" applyProtection="1">
      <alignment horizontal="center" vertical="center" wrapText="1"/>
    </xf>
    <xf numFmtId="3" fontId="22" fillId="5" borderId="12" xfId="0" applyNumberFormat="1" applyFont="1" applyFill="1" applyBorder="1" applyAlignment="1" applyProtection="1">
      <alignment horizontal="center" vertical="center" wrapText="1"/>
    </xf>
    <xf numFmtId="3" fontId="22" fillId="5" borderId="51" xfId="0" applyNumberFormat="1" applyFont="1" applyFill="1" applyBorder="1" applyAlignment="1" applyProtection="1">
      <alignment horizontal="center" vertical="center" wrapText="1"/>
    </xf>
    <xf numFmtId="3" fontId="22" fillId="5" borderId="11" xfId="0" applyNumberFormat="1" applyFont="1" applyFill="1" applyBorder="1" applyAlignment="1" applyProtection="1">
      <alignment horizontal="center" vertical="center" wrapText="1"/>
    </xf>
    <xf numFmtId="3" fontId="22" fillId="5" borderId="45" xfId="0" applyNumberFormat="1" applyFont="1" applyFill="1" applyBorder="1" applyAlignment="1" applyProtection="1">
      <alignment horizontal="center" vertical="center" wrapText="1"/>
    </xf>
    <xf numFmtId="3" fontId="22" fillId="5" borderId="49" xfId="0" applyNumberFormat="1" applyFont="1" applyFill="1" applyBorder="1" applyAlignment="1" applyProtection="1">
      <alignment horizontal="center" vertical="center" wrapText="1"/>
    </xf>
    <xf numFmtId="3" fontId="22" fillId="5" borderId="20" xfId="0" applyNumberFormat="1" applyFont="1" applyFill="1" applyBorder="1" applyAlignment="1" applyProtection="1">
      <alignment horizontal="center" vertical="center" wrapText="1"/>
    </xf>
    <xf numFmtId="3" fontId="22" fillId="5" borderId="21" xfId="0" applyNumberFormat="1" applyFont="1" applyFill="1" applyBorder="1" applyAlignment="1" applyProtection="1">
      <alignment horizontal="center" vertical="center" wrapText="1"/>
    </xf>
    <xf numFmtId="3" fontId="22" fillId="5" borderId="50" xfId="0" applyNumberFormat="1" applyFont="1" applyFill="1" applyBorder="1" applyAlignment="1" applyProtection="1">
      <alignment horizontal="center" vertical="center" wrapText="1"/>
    </xf>
    <xf numFmtId="3" fontId="22" fillId="5" borderId="22" xfId="0" applyNumberFormat="1" applyFont="1" applyFill="1" applyBorder="1" applyAlignment="1" applyProtection="1">
      <alignment horizontal="center" vertical="center" wrapText="1"/>
    </xf>
    <xf numFmtId="2" fontId="22" fillId="5" borderId="20" xfId="0" applyNumberFormat="1" applyFont="1" applyFill="1" applyBorder="1" applyAlignment="1" applyProtection="1">
      <alignment horizontal="center" vertical="center" wrapText="1"/>
    </xf>
    <xf numFmtId="2" fontId="22" fillId="5" borderId="22" xfId="0" applyNumberFormat="1" applyFont="1" applyFill="1" applyBorder="1" applyAlignment="1" applyProtection="1">
      <alignment horizontal="center" vertical="center" wrapText="1"/>
    </xf>
    <xf numFmtId="0" fontId="5" fillId="11" borderId="57" xfId="0" applyFont="1" applyFill="1" applyBorder="1" applyAlignment="1">
      <alignment horizontal="center" vertical="center" wrapText="1"/>
    </xf>
    <xf numFmtId="3" fontId="6" fillId="4" borderId="50" xfId="0" applyNumberFormat="1" applyFont="1" applyFill="1" applyBorder="1" applyAlignment="1">
      <alignment horizontal="center" vertical="center" wrapText="1"/>
    </xf>
    <xf numFmtId="3" fontId="22" fillId="4" borderId="20" xfId="0" applyNumberFormat="1" applyFont="1" applyFill="1" applyBorder="1" applyAlignment="1" applyProtection="1">
      <alignment horizontal="center" vertical="center" wrapText="1"/>
    </xf>
    <xf numFmtId="3" fontId="22" fillId="4" borderId="21" xfId="0" applyNumberFormat="1" applyFont="1" applyFill="1" applyBorder="1" applyAlignment="1" applyProtection="1">
      <alignment horizontal="center" vertical="center" wrapText="1"/>
    </xf>
    <xf numFmtId="3" fontId="22" fillId="4" borderId="50" xfId="0" applyNumberFormat="1" applyFont="1" applyFill="1" applyBorder="1" applyAlignment="1" applyProtection="1">
      <alignment horizontal="center" vertical="center" wrapText="1"/>
    </xf>
    <xf numFmtId="3" fontId="22" fillId="4" borderId="22" xfId="0" applyNumberFormat="1" applyFont="1" applyFill="1" applyBorder="1" applyAlignment="1" applyProtection="1">
      <alignment horizontal="center" vertical="center" wrapText="1"/>
    </xf>
    <xf numFmtId="0" fontId="27" fillId="11" borderId="57" xfId="0" applyFont="1" applyFill="1" applyBorder="1" applyAlignment="1" applyProtection="1">
      <alignment horizontal="center" vertical="center"/>
    </xf>
    <xf numFmtId="0" fontId="20" fillId="11" borderId="57" xfId="0" applyFont="1" applyFill="1" applyBorder="1" applyAlignment="1" applyProtection="1">
      <alignment horizontal="center" vertical="center" wrapText="1"/>
    </xf>
    <xf numFmtId="165" fontId="22" fillId="4" borderId="20" xfId="0" applyNumberFormat="1" applyFont="1" applyFill="1" applyBorder="1" applyAlignment="1" applyProtection="1">
      <alignment horizontal="center" vertical="center" wrapText="1"/>
    </xf>
    <xf numFmtId="165" fontId="22" fillId="4" borderId="22" xfId="0" applyNumberFormat="1" applyFont="1" applyFill="1" applyBorder="1" applyAlignment="1" applyProtection="1">
      <alignment horizontal="center" vertical="center" wrapText="1"/>
    </xf>
    <xf numFmtId="3" fontId="22" fillId="5" borderId="88" xfId="0" applyNumberFormat="1" applyFont="1" applyFill="1" applyBorder="1" applyAlignment="1" applyProtection="1">
      <alignment horizontal="center" vertical="center" wrapText="1"/>
    </xf>
    <xf numFmtId="3" fontId="22" fillId="5" borderId="13" xfId="0" applyNumberFormat="1" applyFont="1" applyFill="1" applyBorder="1" applyAlignment="1" applyProtection="1">
      <alignment horizontal="center" vertical="center" wrapText="1"/>
    </xf>
    <xf numFmtId="2" fontId="22" fillId="5" borderId="34" xfId="0" applyNumberFormat="1" applyFont="1" applyFill="1" applyBorder="1" applyAlignment="1" applyProtection="1">
      <alignment horizontal="center" vertical="center" wrapText="1"/>
    </xf>
    <xf numFmtId="2" fontId="22" fillId="5" borderId="36" xfId="0" applyNumberFormat="1" applyFont="1" applyFill="1" applyBorder="1" applyAlignment="1" applyProtection="1">
      <alignment horizontal="center" vertical="center" wrapText="1"/>
    </xf>
    <xf numFmtId="3" fontId="22" fillId="4" borderId="18" xfId="0" applyNumberFormat="1" applyFont="1" applyFill="1" applyBorder="1" applyAlignment="1" applyProtection="1">
      <alignment horizontal="center" vertical="center" wrapText="1"/>
    </xf>
    <xf numFmtId="3" fontId="22" fillId="4" borderId="65" xfId="0" applyNumberFormat="1" applyFont="1" applyFill="1" applyBorder="1" applyAlignment="1" applyProtection="1">
      <alignment horizontal="center" vertical="center" wrapText="1"/>
    </xf>
    <xf numFmtId="3" fontId="22" fillId="5" borderId="86" xfId="0" applyNumberFormat="1" applyFont="1" applyFill="1" applyBorder="1" applyAlignment="1" applyProtection="1">
      <alignment horizontal="center" vertical="center" wrapText="1"/>
    </xf>
    <xf numFmtId="3" fontId="22" fillId="5" borderId="87" xfId="0" applyNumberFormat="1" applyFont="1" applyFill="1" applyBorder="1" applyAlignment="1" applyProtection="1">
      <alignment horizontal="center" vertical="center" wrapText="1"/>
    </xf>
    <xf numFmtId="3" fontId="22" fillId="5" borderId="85" xfId="0" applyNumberFormat="1" applyFont="1" applyFill="1" applyBorder="1" applyAlignment="1" applyProtection="1">
      <alignment horizontal="center" vertical="center" wrapText="1"/>
    </xf>
    <xf numFmtId="3" fontId="22" fillId="5" borderId="89" xfId="0" applyNumberFormat="1" applyFont="1" applyFill="1" applyBorder="1" applyAlignment="1" applyProtection="1">
      <alignment horizontal="center" vertical="center" wrapText="1"/>
    </xf>
    <xf numFmtId="0" fontId="5" fillId="7" borderId="50" xfId="5" applyNumberFormat="1" applyFont="1" applyBorder="1" applyAlignment="1" applyProtection="1">
      <alignment horizontal="center" vertical="center" wrapText="1"/>
      <protection locked="0"/>
    </xf>
    <xf numFmtId="3" fontId="5" fillId="5" borderId="0" xfId="0" applyNumberFormat="1" applyFont="1" applyFill="1" applyBorder="1" applyAlignment="1" applyProtection="1">
      <alignment horizontal="center" vertical="center" wrapText="1"/>
    </xf>
    <xf numFmtId="3" fontId="5" fillId="5" borderId="50" xfId="0" applyNumberFormat="1" applyFont="1" applyFill="1" applyBorder="1" applyAlignment="1" applyProtection="1">
      <alignment horizontal="center" vertical="center" wrapText="1"/>
    </xf>
    <xf numFmtId="3" fontId="22" fillId="4" borderId="29" xfId="0" applyNumberFormat="1" applyFont="1" applyFill="1" applyBorder="1" applyAlignment="1" applyProtection="1">
      <alignment horizontal="center" vertical="center" wrapText="1"/>
    </xf>
    <xf numFmtId="3" fontId="22" fillId="4" borderId="10" xfId="0" applyNumberFormat="1" applyFont="1" applyFill="1" applyBorder="1" applyAlignment="1" applyProtection="1">
      <alignment horizontal="center" vertical="center" wrapText="1"/>
    </xf>
    <xf numFmtId="165" fontId="22" fillId="4" borderId="58" xfId="0" applyNumberFormat="1" applyFont="1" applyFill="1" applyBorder="1" applyAlignment="1" applyProtection="1">
      <alignment horizontal="center" vertical="center" wrapText="1"/>
    </xf>
    <xf numFmtId="165" fontId="22" fillId="4" borderId="76" xfId="0" applyNumberFormat="1" applyFont="1" applyFill="1" applyBorder="1" applyAlignment="1" applyProtection="1">
      <alignment horizontal="center" vertical="center" wrapText="1"/>
    </xf>
    <xf numFmtId="3" fontId="22" fillId="5" borderId="90" xfId="0" applyNumberFormat="1" applyFont="1" applyFill="1" applyBorder="1" applyAlignment="1" applyProtection="1">
      <alignment horizontal="center" vertical="center" wrapText="1"/>
    </xf>
    <xf numFmtId="3" fontId="22" fillId="5" borderId="57" xfId="0" applyNumberFormat="1" applyFont="1" applyFill="1" applyBorder="1" applyAlignment="1" applyProtection="1">
      <alignment horizontal="center" vertical="center" wrapText="1"/>
    </xf>
    <xf numFmtId="0" fontId="20" fillId="11" borderId="57" xfId="0" applyFont="1" applyFill="1" applyBorder="1" applyAlignment="1" applyProtection="1">
      <alignment horizontal="center" vertical="center"/>
    </xf>
    <xf numFmtId="3" fontId="7" fillId="5" borderId="42" xfId="0" applyNumberFormat="1" applyFont="1" applyFill="1" applyBorder="1" applyAlignment="1" applyProtection="1">
      <alignment horizontal="center" vertical="center" wrapText="1"/>
    </xf>
    <xf numFmtId="2" fontId="22" fillId="5" borderId="42" xfId="0" applyNumberFormat="1" applyFont="1" applyFill="1" applyBorder="1" applyAlignment="1" applyProtection="1">
      <alignment horizontal="center" vertical="center" wrapText="1"/>
    </xf>
    <xf numFmtId="2" fontId="22" fillId="5" borderId="91" xfId="0" applyNumberFormat="1" applyFont="1" applyFill="1" applyBorder="1" applyAlignment="1" applyProtection="1">
      <alignment horizontal="center" vertical="center" wrapText="1"/>
    </xf>
    <xf numFmtId="3" fontId="7" fillId="5" borderId="1" xfId="0" applyNumberFormat="1" applyFont="1" applyFill="1" applyBorder="1" applyAlignment="1" applyProtection="1">
      <alignment horizontal="center" vertical="center" wrapText="1"/>
    </xf>
    <xf numFmtId="3" fontId="7" fillId="5" borderId="4" xfId="0" applyNumberFormat="1" applyFont="1" applyFill="1" applyBorder="1" applyAlignment="1" applyProtection="1">
      <alignment horizontal="center" vertical="center" wrapText="1"/>
    </xf>
    <xf numFmtId="3" fontId="7" fillId="5" borderId="53" xfId="0" applyNumberFormat="1" applyFont="1" applyFill="1" applyBorder="1" applyAlignment="1" applyProtection="1">
      <alignment horizontal="center" vertical="center" wrapText="1"/>
    </xf>
    <xf numFmtId="0" fontId="5" fillId="6" borderId="43" xfId="0" applyFont="1" applyFill="1" applyBorder="1" applyAlignment="1">
      <alignment vertical="top" wrapText="1"/>
    </xf>
    <xf numFmtId="0" fontId="0" fillId="7" borderId="0" xfId="5" applyNumberFormat="1" applyFont="1" applyBorder="1" applyAlignment="1" applyProtection="1">
      <alignment horizontal="center" vertical="center" wrapText="1"/>
      <protection locked="0"/>
    </xf>
    <xf numFmtId="0" fontId="0" fillId="7" borderId="68" xfId="5" applyNumberFormat="1" applyFont="1" applyBorder="1" applyAlignment="1" applyProtection="1">
      <alignment horizontal="center" vertical="center" wrapText="1"/>
      <protection locked="0"/>
    </xf>
    <xf numFmtId="3" fontId="22" fillId="4" borderId="57" xfId="0" applyNumberFormat="1" applyFont="1" applyFill="1" applyBorder="1" applyAlignment="1" applyProtection="1">
      <alignment horizontal="center" vertical="center" wrapText="1"/>
    </xf>
    <xf numFmtId="3" fontId="22" fillId="5" borderId="32" xfId="0" applyNumberFormat="1" applyFont="1" applyFill="1" applyBorder="1" applyAlignment="1" applyProtection="1">
      <alignment horizontal="center" vertical="center" wrapText="1"/>
    </xf>
    <xf numFmtId="3" fontId="22" fillId="5" borderId="2" xfId="0" applyNumberFormat="1" applyFont="1" applyFill="1" applyBorder="1" applyAlignment="1" applyProtection="1">
      <alignment horizontal="center" vertical="center" wrapText="1"/>
    </xf>
    <xf numFmtId="164" fontId="18" fillId="15" borderId="32" xfId="0" applyNumberFormat="1" applyFont="1" applyFill="1" applyBorder="1" applyAlignment="1">
      <alignment horizontal="center" vertical="center" wrapText="1"/>
    </xf>
    <xf numFmtId="164" fontId="18" fillId="15" borderId="72" xfId="0" applyNumberFormat="1" applyFont="1" applyFill="1" applyBorder="1" applyAlignment="1">
      <alignment horizontal="center" vertical="center" wrapText="1"/>
    </xf>
    <xf numFmtId="164" fontId="5" fillId="15" borderId="12" xfId="0" applyNumberFormat="1" applyFont="1" applyFill="1" applyBorder="1" applyAlignment="1" applyProtection="1">
      <alignment vertical="center" wrapText="1"/>
    </xf>
    <xf numFmtId="164" fontId="5" fillId="15" borderId="77" xfId="0" applyNumberFormat="1" applyFont="1" applyFill="1" applyBorder="1" applyAlignment="1" applyProtection="1">
      <alignment vertical="center" wrapText="1"/>
    </xf>
    <xf numFmtId="164" fontId="22" fillId="15" borderId="12" xfId="0" applyNumberFormat="1" applyFont="1" applyFill="1" applyBorder="1" applyAlignment="1" applyProtection="1">
      <alignment vertical="center" wrapText="1"/>
    </xf>
    <xf numFmtId="0" fontId="29" fillId="6" borderId="0" xfId="0" applyFont="1" applyFill="1"/>
    <xf numFmtId="0" fontId="29" fillId="6" borderId="0" xfId="0" applyFont="1" applyFill="1" applyAlignment="1">
      <alignment horizontal="center" vertical="center"/>
    </xf>
    <xf numFmtId="0" fontId="29" fillId="6" borderId="0" xfId="0" applyFont="1" applyFill="1" applyBorder="1" applyAlignment="1">
      <alignment horizontal="center" vertical="center" wrapText="1"/>
    </xf>
    <xf numFmtId="0" fontId="29" fillId="6" borderId="0" xfId="0" applyFont="1" applyFill="1" applyAlignment="1">
      <alignment horizontal="center" vertical="center" wrapText="1"/>
    </xf>
    <xf numFmtId="0" fontId="24" fillId="6" borderId="0" xfId="0" applyFont="1" applyFill="1" applyBorder="1" applyAlignment="1">
      <alignment horizontal="center" vertical="center" wrapText="1"/>
    </xf>
    <xf numFmtId="0" fontId="24" fillId="6" borderId="0" xfId="0" applyFont="1" applyFill="1" applyAlignment="1">
      <alignment horizontal="center" vertical="center" wrapText="1"/>
    </xf>
    <xf numFmtId="0" fontId="5" fillId="11" borderId="67" xfId="0" applyFont="1" applyFill="1" applyBorder="1" applyAlignment="1" applyProtection="1">
      <alignment horizontal="center" vertical="center" wrapText="1"/>
    </xf>
    <xf numFmtId="3" fontId="22" fillId="5" borderId="68" xfId="0" applyNumberFormat="1" applyFont="1" applyFill="1" applyBorder="1" applyAlignment="1" applyProtection="1">
      <alignment horizontal="center" vertical="center" wrapText="1"/>
    </xf>
    <xf numFmtId="3" fontId="22" fillId="5" borderId="4" xfId="0" applyNumberFormat="1" applyFont="1" applyFill="1" applyBorder="1" applyAlignment="1" applyProtection="1">
      <alignment horizontal="center" vertical="center" wrapText="1"/>
    </xf>
    <xf numFmtId="3" fontId="22" fillId="5" borderId="26" xfId="0" applyNumberFormat="1" applyFont="1" applyFill="1" applyBorder="1" applyAlignment="1" applyProtection="1">
      <alignment horizontal="center" vertical="center" wrapText="1"/>
    </xf>
    <xf numFmtId="3" fontId="22" fillId="5" borderId="47" xfId="0" applyNumberFormat="1" applyFont="1" applyFill="1" applyBorder="1" applyAlignment="1" applyProtection="1">
      <alignment horizontal="center" vertical="center" wrapText="1"/>
    </xf>
    <xf numFmtId="0" fontId="20" fillId="11" borderId="60" xfId="0" applyFont="1" applyFill="1" applyBorder="1" applyAlignment="1" applyProtection="1">
      <alignment horizontal="center" vertical="center" wrapText="1"/>
    </xf>
    <xf numFmtId="3" fontId="7" fillId="5" borderId="26" xfId="0" applyNumberFormat="1" applyFont="1" applyFill="1" applyBorder="1" applyAlignment="1" applyProtection="1">
      <alignment horizontal="center" vertical="center" wrapText="1"/>
    </xf>
    <xf numFmtId="164" fontId="22" fillId="15" borderId="61" xfId="0" applyNumberFormat="1" applyFont="1" applyFill="1" applyBorder="1" applyAlignment="1" applyProtection="1">
      <alignment horizontal="center" vertical="center" wrapText="1"/>
    </xf>
    <xf numFmtId="3" fontId="22" fillId="5" borderId="95" xfId="0" applyNumberFormat="1" applyFont="1" applyFill="1" applyBorder="1" applyAlignment="1" applyProtection="1">
      <alignment horizontal="center" vertical="center" wrapText="1"/>
    </xf>
    <xf numFmtId="3" fontId="22" fillId="5" borderId="16" xfId="0" applyNumberFormat="1" applyFont="1" applyFill="1" applyBorder="1" applyAlignment="1" applyProtection="1">
      <alignment horizontal="center" vertical="center" wrapText="1"/>
    </xf>
    <xf numFmtId="0" fontId="0" fillId="6" borderId="0" xfId="0" applyFont="1" applyFill="1" applyBorder="1"/>
    <xf numFmtId="3" fontId="22" fillId="6" borderId="0" xfId="0" applyNumberFormat="1" applyFont="1" applyFill="1" applyBorder="1" applyAlignment="1" applyProtection="1">
      <alignment horizontal="center" vertical="center" wrapText="1"/>
    </xf>
    <xf numFmtId="3" fontId="22" fillId="5" borderId="48" xfId="0" applyNumberFormat="1" applyFont="1" applyFill="1" applyBorder="1" applyAlignment="1" applyProtection="1">
      <alignment horizontal="center" vertical="center" wrapText="1"/>
    </xf>
    <xf numFmtId="3" fontId="22" fillId="5" borderId="46" xfId="0" applyNumberFormat="1" applyFont="1" applyFill="1" applyBorder="1" applyAlignment="1" applyProtection="1">
      <alignment horizontal="center" vertical="center" wrapText="1"/>
    </xf>
    <xf numFmtId="0" fontId="30" fillId="6" borderId="0" xfId="0" applyFont="1" applyFill="1"/>
    <xf numFmtId="3" fontId="22" fillId="5" borderId="28" xfId="0" applyNumberFormat="1" applyFont="1" applyFill="1" applyBorder="1" applyAlignment="1" applyProtection="1">
      <alignment horizontal="center" vertical="center" wrapText="1"/>
    </xf>
    <xf numFmtId="164" fontId="5" fillId="9" borderId="10" xfId="0" applyNumberFormat="1" applyFont="1" applyFill="1" applyBorder="1" applyAlignment="1" applyProtection="1">
      <alignment horizontal="center" vertical="center" wrapText="1"/>
    </xf>
    <xf numFmtId="164" fontId="5" fillId="15" borderId="10" xfId="0" applyNumberFormat="1" applyFont="1" applyFill="1" applyBorder="1" applyAlignment="1">
      <alignment horizontal="center" vertical="center" wrapText="1"/>
    </xf>
    <xf numFmtId="164" fontId="5" fillId="15" borderId="77" xfId="0" applyNumberFormat="1" applyFont="1" applyFill="1" applyBorder="1" applyAlignment="1">
      <alignment horizontal="center" vertical="center" wrapText="1"/>
    </xf>
    <xf numFmtId="1" fontId="22" fillId="4" borderId="0" xfId="0" applyNumberFormat="1" applyFont="1" applyFill="1" applyBorder="1" applyAlignment="1">
      <alignment horizontal="center" vertical="center"/>
    </xf>
    <xf numFmtId="3" fontId="22" fillId="5" borderId="18" xfId="0" applyNumberFormat="1" applyFont="1" applyFill="1" applyBorder="1" applyAlignment="1" applyProtection="1">
      <alignment horizontal="center" vertical="center" wrapText="1"/>
    </xf>
    <xf numFmtId="3" fontId="22" fillId="5" borderId="10" xfId="0" applyNumberFormat="1" applyFont="1" applyFill="1" applyBorder="1" applyAlignment="1" applyProtection="1">
      <alignment horizontal="center" vertical="center" wrapText="1"/>
    </xf>
    <xf numFmtId="3" fontId="22" fillId="5" borderId="31" xfId="0" applyNumberFormat="1" applyFont="1" applyFill="1" applyBorder="1" applyAlignment="1" applyProtection="1">
      <alignment horizontal="center" vertical="center" wrapText="1"/>
    </xf>
    <xf numFmtId="3" fontId="22" fillId="5" borderId="23" xfId="0" applyNumberFormat="1" applyFont="1" applyFill="1" applyBorder="1" applyAlignment="1" applyProtection="1">
      <alignment horizontal="center" vertical="center" wrapText="1"/>
    </xf>
    <xf numFmtId="164" fontId="5" fillId="15" borderId="10" xfId="0" applyNumberFormat="1" applyFont="1" applyFill="1" applyBorder="1" applyAlignment="1" applyProtection="1">
      <alignment horizontal="center" vertical="center" wrapText="1"/>
    </xf>
    <xf numFmtId="3" fontId="22" fillId="5" borderId="29" xfId="0" applyNumberFormat="1" applyFont="1" applyFill="1" applyBorder="1" applyAlignment="1" applyProtection="1">
      <alignment horizontal="center" vertical="center" wrapText="1"/>
    </xf>
    <xf numFmtId="0" fontId="22" fillId="5" borderId="84" xfId="0" applyNumberFormat="1" applyFont="1" applyFill="1" applyBorder="1" applyAlignment="1" applyProtection="1">
      <alignment horizontal="center" vertical="center" wrapText="1"/>
      <protection locked="0"/>
    </xf>
    <xf numFmtId="3" fontId="22" fillId="5" borderId="99" xfId="0" applyNumberFormat="1" applyFont="1" applyFill="1" applyBorder="1" applyAlignment="1" applyProtection="1">
      <alignment horizontal="center" vertical="center" wrapText="1"/>
    </xf>
    <xf numFmtId="3" fontId="22" fillId="5" borderId="100" xfId="0" applyNumberFormat="1" applyFont="1" applyFill="1" applyBorder="1" applyAlignment="1" applyProtection="1">
      <alignment horizontal="center" vertical="center" wrapText="1"/>
    </xf>
    <xf numFmtId="0" fontId="5" fillId="11" borderId="77" xfId="0" applyFont="1" applyFill="1" applyBorder="1" applyAlignment="1" applyProtection="1">
      <alignment horizontal="center" vertical="center" wrapText="1"/>
    </xf>
    <xf numFmtId="3" fontId="22" fillId="5" borderId="84" xfId="0" applyNumberFormat="1" applyFont="1" applyFill="1" applyBorder="1" applyAlignment="1" applyProtection="1">
      <alignment horizontal="center" vertical="center" wrapText="1"/>
    </xf>
    <xf numFmtId="3" fontId="22" fillId="5" borderId="101" xfId="0" applyNumberFormat="1" applyFont="1" applyFill="1" applyBorder="1" applyAlignment="1" applyProtection="1">
      <alignment horizontal="center" vertical="center" wrapText="1"/>
    </xf>
    <xf numFmtId="3" fontId="22" fillId="5" borderId="102" xfId="0" applyNumberFormat="1" applyFont="1" applyFill="1" applyBorder="1" applyAlignment="1" applyProtection="1">
      <alignment horizontal="center" vertical="center" wrapText="1"/>
    </xf>
    <xf numFmtId="0" fontId="5" fillId="11" borderId="90" xfId="0" applyFont="1" applyFill="1" applyBorder="1" applyAlignment="1" applyProtection="1">
      <alignment horizontal="center" vertical="center" wrapText="1"/>
    </xf>
    <xf numFmtId="2" fontId="22" fillId="5" borderId="99" xfId="0" applyNumberFormat="1" applyFont="1" applyFill="1" applyBorder="1" applyAlignment="1" applyProtection="1">
      <alignment horizontal="center" vertical="center" wrapText="1"/>
    </xf>
    <xf numFmtId="0" fontId="5" fillId="11" borderId="95" xfId="0" applyFont="1" applyFill="1" applyBorder="1" applyAlignment="1" applyProtection="1">
      <alignment horizontal="center" vertical="center" wrapText="1"/>
    </xf>
    <xf numFmtId="2" fontId="22" fillId="5" borderId="101" xfId="0" applyNumberFormat="1" applyFont="1" applyFill="1" applyBorder="1" applyAlignment="1" applyProtection="1">
      <alignment horizontal="center" vertical="center" wrapText="1"/>
    </xf>
    <xf numFmtId="3" fontId="22" fillId="5" borderId="1" xfId="0" applyNumberFormat="1" applyFont="1" applyFill="1" applyBorder="1" applyAlignment="1" applyProtection="1">
      <alignment horizontal="center" vertical="center" wrapText="1"/>
    </xf>
    <xf numFmtId="3" fontId="7" fillId="5" borderId="47" xfId="0" applyNumberFormat="1" applyFont="1" applyFill="1" applyBorder="1" applyAlignment="1" applyProtection="1">
      <alignment horizontal="center" vertical="center" wrapText="1"/>
    </xf>
    <xf numFmtId="3" fontId="7" fillId="5" borderId="52" xfId="0" applyNumberFormat="1" applyFont="1" applyFill="1" applyBorder="1" applyAlignment="1" applyProtection="1">
      <alignment horizontal="center" vertical="center" wrapText="1"/>
    </xf>
    <xf numFmtId="164" fontId="5" fillId="15" borderId="65" xfId="0" applyNumberFormat="1" applyFont="1" applyFill="1" applyBorder="1" applyAlignment="1" applyProtection="1">
      <alignment horizontal="center" vertical="center" wrapText="1"/>
    </xf>
    <xf numFmtId="164" fontId="5" fillId="15" borderId="65" xfId="0" applyNumberFormat="1" applyFont="1" applyFill="1" applyBorder="1" applyAlignment="1">
      <alignment horizontal="center" vertical="center" wrapText="1"/>
    </xf>
    <xf numFmtId="3" fontId="22" fillId="5" borderId="103" xfId="0" applyNumberFormat="1" applyFont="1" applyFill="1" applyBorder="1" applyAlignment="1" applyProtection="1">
      <alignment horizontal="center" vertical="center" wrapText="1"/>
    </xf>
    <xf numFmtId="3" fontId="22" fillId="5" borderId="104" xfId="0" applyNumberFormat="1" applyFont="1" applyFill="1" applyBorder="1" applyAlignment="1" applyProtection="1">
      <alignment horizontal="center" vertical="center" wrapText="1"/>
    </xf>
    <xf numFmtId="3" fontId="22" fillId="5" borderId="75" xfId="0" applyNumberFormat="1" applyFont="1" applyFill="1" applyBorder="1" applyAlignment="1" applyProtection="1">
      <alignment horizontal="center" vertical="center" wrapText="1"/>
    </xf>
    <xf numFmtId="3" fontId="22" fillId="5" borderId="15" xfId="0" applyNumberFormat="1" applyFont="1" applyFill="1" applyBorder="1" applyAlignment="1" applyProtection="1">
      <alignment horizontal="center" vertical="center" wrapText="1"/>
    </xf>
    <xf numFmtId="3" fontId="22" fillId="5" borderId="3" xfId="0" applyNumberFormat="1" applyFont="1" applyFill="1" applyBorder="1" applyAlignment="1" applyProtection="1">
      <alignment horizontal="center" vertical="center" wrapText="1"/>
    </xf>
    <xf numFmtId="2" fontId="22" fillId="5" borderId="9" xfId="0" applyNumberFormat="1" applyFont="1" applyFill="1" applyBorder="1" applyAlignment="1" applyProtection="1">
      <alignment horizontal="center" vertical="center" wrapText="1"/>
    </xf>
    <xf numFmtId="2" fontId="22" fillId="5" borderId="106" xfId="0" applyNumberFormat="1" applyFont="1" applyFill="1" applyBorder="1" applyAlignment="1" applyProtection="1">
      <alignment horizontal="center" vertical="center" wrapText="1"/>
    </xf>
    <xf numFmtId="3" fontId="22" fillId="4" borderId="105" xfId="0" applyNumberFormat="1" applyFont="1" applyFill="1" applyBorder="1" applyAlignment="1" applyProtection="1">
      <alignment horizontal="center" vertical="center" wrapText="1"/>
    </xf>
    <xf numFmtId="3" fontId="22" fillId="4" borderId="107" xfId="0" applyNumberFormat="1" applyFont="1" applyFill="1" applyBorder="1" applyAlignment="1" applyProtection="1">
      <alignment horizontal="center" vertical="center" wrapText="1"/>
    </xf>
    <xf numFmtId="3" fontId="0" fillId="4" borderId="105" xfId="0" applyNumberFormat="1" applyFont="1" applyFill="1" applyBorder="1" applyAlignment="1">
      <alignment horizontal="center" vertical="center" wrapText="1"/>
    </xf>
    <xf numFmtId="3" fontId="22" fillId="4" borderId="108" xfId="0" applyNumberFormat="1" applyFont="1" applyFill="1" applyBorder="1" applyAlignment="1" applyProtection="1">
      <alignment horizontal="center" vertical="center" wrapText="1"/>
    </xf>
    <xf numFmtId="3" fontId="22" fillId="4" borderId="109" xfId="0" applyNumberFormat="1" applyFont="1" applyFill="1" applyBorder="1" applyAlignment="1" applyProtection="1">
      <alignment horizontal="center" vertical="center" wrapText="1"/>
    </xf>
    <xf numFmtId="165" fontId="22" fillId="4" borderId="105" xfId="0" applyNumberFormat="1" applyFont="1" applyFill="1" applyBorder="1" applyAlignment="1" applyProtection="1">
      <alignment horizontal="center" vertical="center" wrapText="1"/>
    </xf>
    <xf numFmtId="165" fontId="22" fillId="4" borderId="110" xfId="0" applyNumberFormat="1" applyFont="1" applyFill="1" applyBorder="1" applyAlignment="1" applyProtection="1">
      <alignment horizontal="center" vertical="center" wrapText="1"/>
    </xf>
    <xf numFmtId="3" fontId="22" fillId="5" borderId="52" xfId="0" applyNumberFormat="1" applyFont="1" applyFill="1" applyBorder="1" applyAlignment="1" applyProtection="1">
      <alignment horizontal="center" vertical="center" wrapText="1"/>
    </xf>
    <xf numFmtId="3" fontId="22" fillId="5" borderId="56" xfId="0" applyNumberFormat="1" applyFont="1" applyFill="1" applyBorder="1" applyAlignment="1" applyProtection="1">
      <alignment horizontal="center" vertical="center" wrapText="1"/>
    </xf>
    <xf numFmtId="3" fontId="22" fillId="5" borderId="111" xfId="0" applyNumberFormat="1" applyFont="1" applyFill="1" applyBorder="1" applyAlignment="1" applyProtection="1">
      <alignment horizontal="center" vertical="center" wrapText="1"/>
    </xf>
    <xf numFmtId="3" fontId="22" fillId="5" borderId="113" xfId="0" applyNumberFormat="1" applyFont="1" applyFill="1" applyBorder="1" applyAlignment="1" applyProtection="1">
      <alignment horizontal="center" vertical="center" wrapText="1"/>
    </xf>
    <xf numFmtId="164" fontId="5" fillId="15" borderId="76" xfId="0" applyNumberFormat="1" applyFont="1" applyFill="1" applyBorder="1" applyAlignment="1" applyProtection="1">
      <alignment horizontal="center" vertical="center" wrapText="1"/>
    </xf>
    <xf numFmtId="164" fontId="22" fillId="15" borderId="63" xfId="0" applyNumberFormat="1" applyFont="1" applyFill="1" applyBorder="1" applyAlignment="1" applyProtection="1">
      <alignment horizontal="center" vertical="center" wrapText="1"/>
    </xf>
    <xf numFmtId="164" fontId="22" fillId="15" borderId="62" xfId="0" applyNumberFormat="1" applyFont="1" applyFill="1" applyBorder="1" applyAlignment="1" applyProtection="1">
      <alignment horizontal="center" vertical="center" wrapText="1"/>
    </xf>
    <xf numFmtId="164" fontId="22" fillId="15" borderId="63" xfId="0" applyNumberFormat="1" applyFont="1" applyFill="1" applyBorder="1" applyAlignment="1">
      <alignment horizontal="center" vertical="center" wrapText="1"/>
    </xf>
    <xf numFmtId="3" fontId="7" fillId="5" borderId="9" xfId="0" applyNumberFormat="1" applyFont="1" applyFill="1" applyBorder="1" applyAlignment="1" applyProtection="1">
      <alignment horizontal="center" vertical="center" wrapText="1"/>
    </xf>
    <xf numFmtId="3" fontId="7" fillId="5" borderId="2" xfId="0" applyNumberFormat="1" applyFont="1" applyFill="1" applyBorder="1" applyAlignment="1" applyProtection="1">
      <alignment horizontal="center" vertical="center" wrapText="1"/>
    </xf>
    <xf numFmtId="3" fontId="7" fillId="5" borderId="3" xfId="0" applyNumberFormat="1" applyFont="1" applyFill="1" applyBorder="1" applyAlignment="1" applyProtection="1">
      <alignment horizontal="center" vertical="center" wrapText="1"/>
    </xf>
    <xf numFmtId="3" fontId="7" fillId="5" borderId="41" xfId="0" applyNumberFormat="1" applyFont="1" applyFill="1" applyBorder="1" applyAlignment="1" applyProtection="1">
      <alignment horizontal="center" vertical="center" wrapText="1"/>
    </xf>
    <xf numFmtId="1" fontId="22" fillId="4" borderId="114" xfId="0" applyNumberFormat="1" applyFont="1" applyFill="1" applyBorder="1" applyAlignment="1" applyProtection="1">
      <alignment horizontal="center" vertical="center" wrapText="1"/>
    </xf>
    <xf numFmtId="1" fontId="22" fillId="4" borderId="105" xfId="0" applyNumberFormat="1" applyFont="1" applyFill="1" applyBorder="1" applyAlignment="1" applyProtection="1">
      <alignment horizontal="center" vertical="center" wrapText="1"/>
    </xf>
    <xf numFmtId="1" fontId="22" fillId="4" borderId="109" xfId="0" applyNumberFormat="1" applyFont="1" applyFill="1" applyBorder="1" applyAlignment="1" applyProtection="1">
      <alignment horizontal="center" vertical="center" wrapText="1"/>
    </xf>
    <xf numFmtId="1" fontId="22" fillId="4" borderId="107" xfId="0" applyNumberFormat="1" applyFont="1" applyFill="1" applyBorder="1" applyAlignment="1" applyProtection="1">
      <alignment horizontal="center" vertical="center" wrapText="1"/>
    </xf>
    <xf numFmtId="1" fontId="22" fillId="4" borderId="108" xfId="0" applyNumberFormat="1" applyFont="1" applyFill="1" applyBorder="1" applyAlignment="1" applyProtection="1">
      <alignment horizontal="center" vertical="center" wrapText="1"/>
    </xf>
    <xf numFmtId="3" fontId="22" fillId="4" borderId="24" xfId="0" applyNumberFormat="1" applyFont="1" applyFill="1" applyBorder="1" applyAlignment="1" applyProtection="1">
      <alignment horizontal="center" vertical="center" wrapText="1"/>
    </xf>
    <xf numFmtId="3" fontId="22" fillId="4" borderId="98" xfId="0" applyNumberFormat="1" applyFont="1" applyFill="1" applyBorder="1" applyAlignment="1" applyProtection="1">
      <alignment horizontal="center" vertical="center" wrapText="1"/>
    </xf>
    <xf numFmtId="166" fontId="22" fillId="4" borderId="114" xfId="0" applyNumberFormat="1" applyFont="1" applyFill="1" applyBorder="1" applyAlignment="1" applyProtection="1">
      <alignment horizontal="center" vertical="center" wrapText="1"/>
    </xf>
    <xf numFmtId="166" fontId="22" fillId="4" borderId="110" xfId="0" applyNumberFormat="1" applyFont="1" applyFill="1" applyBorder="1" applyAlignment="1" applyProtection="1">
      <alignment horizontal="center" vertical="center" wrapText="1"/>
    </xf>
    <xf numFmtId="3" fontId="7" fillId="5" borderId="43" xfId="0" applyNumberFormat="1" applyFont="1" applyFill="1" applyBorder="1" applyAlignment="1" applyProtection="1">
      <alignment horizontal="center" vertical="center" wrapText="1"/>
    </xf>
    <xf numFmtId="3" fontId="7" fillId="5" borderId="56" xfId="0" applyNumberFormat="1" applyFont="1" applyFill="1" applyBorder="1" applyAlignment="1" applyProtection="1">
      <alignment horizontal="center" vertical="center" wrapText="1"/>
    </xf>
    <xf numFmtId="3" fontId="7" fillId="5" borderId="99" xfId="0" applyNumberFormat="1" applyFont="1" applyFill="1" applyBorder="1" applyAlignment="1" applyProtection="1">
      <alignment horizontal="center" vertical="center" wrapText="1"/>
    </xf>
    <xf numFmtId="3" fontId="7" fillId="5" borderId="100" xfId="0" applyNumberFormat="1" applyFont="1" applyFill="1" applyBorder="1" applyAlignment="1" applyProtection="1">
      <alignment horizontal="center" vertical="center" wrapText="1"/>
    </xf>
    <xf numFmtId="3" fontId="7" fillId="5" borderId="111" xfId="0" applyNumberFormat="1" applyFont="1" applyFill="1" applyBorder="1" applyAlignment="1" applyProtection="1">
      <alignment horizontal="center" vertical="center" wrapText="1"/>
    </xf>
    <xf numFmtId="3" fontId="7" fillId="5" borderId="113" xfId="0" applyNumberFormat="1" applyFont="1" applyFill="1" applyBorder="1" applyAlignment="1" applyProtection="1">
      <alignment horizontal="center" vertical="center" wrapText="1"/>
    </xf>
    <xf numFmtId="3" fontId="7" fillId="5" borderId="112" xfId="0" applyNumberFormat="1" applyFont="1" applyFill="1" applyBorder="1" applyAlignment="1" applyProtection="1">
      <alignment horizontal="center" vertical="center" wrapText="1"/>
    </xf>
    <xf numFmtId="3" fontId="22" fillId="5" borderId="5" xfId="0" applyNumberFormat="1" applyFont="1" applyFill="1" applyBorder="1" applyAlignment="1" applyProtection="1">
      <alignment horizontal="center" vertical="center" wrapText="1"/>
    </xf>
    <xf numFmtId="3" fontId="22" fillId="5" borderId="115" xfId="0" applyNumberFormat="1" applyFont="1" applyFill="1" applyBorder="1" applyAlignment="1" applyProtection="1">
      <alignment horizontal="center" vertical="center" wrapText="1"/>
    </xf>
    <xf numFmtId="3" fontId="22" fillId="5" borderId="27" xfId="0" applyNumberFormat="1" applyFont="1" applyFill="1" applyBorder="1" applyAlignment="1" applyProtection="1">
      <alignment horizontal="center" vertical="center" wrapText="1"/>
    </xf>
    <xf numFmtId="3" fontId="4" fillId="6" borderId="63" xfId="0" applyNumberFormat="1" applyFont="1" applyFill="1" applyBorder="1" applyAlignment="1" applyProtection="1">
      <alignment horizontal="center" vertical="center" wrapText="1"/>
    </xf>
    <xf numFmtId="3" fontId="4" fillId="6" borderId="32" xfId="0" applyNumberFormat="1" applyFont="1" applyFill="1" applyBorder="1" applyAlignment="1" applyProtection="1">
      <alignment horizontal="center" vertical="center" wrapText="1"/>
    </xf>
    <xf numFmtId="0" fontId="22" fillId="6" borderId="0" xfId="0" applyFont="1" applyFill="1" applyAlignment="1">
      <alignment vertical="top" wrapText="1"/>
    </xf>
    <xf numFmtId="0" fontId="22" fillId="6" borderId="57" xfId="0" applyFont="1" applyFill="1" applyBorder="1" applyAlignment="1">
      <alignment vertical="top" wrapText="1"/>
    </xf>
    <xf numFmtId="0" fontId="24" fillId="6" borderId="57" xfId="0" applyFont="1" applyFill="1" applyBorder="1"/>
    <xf numFmtId="0" fontId="26" fillId="6" borderId="57" xfId="0" applyFont="1" applyFill="1" applyBorder="1"/>
    <xf numFmtId="0" fontId="21" fillId="6" borderId="57" xfId="0" applyFont="1" applyFill="1" applyBorder="1"/>
    <xf numFmtId="0" fontId="0" fillId="6" borderId="57" xfId="0" applyFont="1" applyFill="1" applyBorder="1"/>
    <xf numFmtId="0" fontId="24" fillId="6" borderId="0" xfId="0" applyFont="1" applyFill="1" applyBorder="1"/>
    <xf numFmtId="164" fontId="30" fillId="6" borderId="0" xfId="0" applyNumberFormat="1" applyFont="1" applyFill="1" applyBorder="1" applyAlignment="1" applyProtection="1">
      <alignment vertical="center" wrapText="1"/>
    </xf>
    <xf numFmtId="0" fontId="18" fillId="9" borderId="62" xfId="0" applyFont="1" applyFill="1" applyBorder="1" applyAlignment="1">
      <alignment horizontal="center" vertical="center" wrapText="1"/>
    </xf>
    <xf numFmtId="164" fontId="11" fillId="9" borderId="63" xfId="0" applyNumberFormat="1" applyFont="1" applyFill="1" applyBorder="1" applyAlignment="1">
      <alignment vertical="center" wrapText="1"/>
    </xf>
    <xf numFmtId="164" fontId="11" fillId="9" borderId="63" xfId="0" applyNumberFormat="1" applyFont="1" applyFill="1" applyBorder="1" applyAlignment="1" applyProtection="1">
      <alignment vertical="center" wrapText="1"/>
    </xf>
    <xf numFmtId="164" fontId="11" fillId="9" borderId="32" xfId="0" applyNumberFormat="1" applyFont="1" applyFill="1" applyBorder="1" applyAlignment="1" applyProtection="1">
      <alignment horizontal="center" vertical="center" wrapText="1"/>
    </xf>
    <xf numFmtId="0" fontId="0" fillId="6" borderId="0" xfId="0" applyFont="1" applyFill="1" applyAlignment="1">
      <alignment vertical="top" wrapText="1"/>
    </xf>
    <xf numFmtId="164" fontId="11" fillId="9" borderId="32" xfId="0" applyNumberFormat="1" applyFont="1" applyFill="1" applyBorder="1" applyAlignment="1" applyProtection="1">
      <alignment vertical="center" wrapText="1"/>
    </xf>
    <xf numFmtId="164" fontId="11" fillId="9" borderId="47" xfId="0" applyNumberFormat="1" applyFont="1" applyFill="1" applyBorder="1" applyAlignment="1" applyProtection="1">
      <alignment vertical="center" wrapText="1"/>
    </xf>
    <xf numFmtId="164" fontId="11" fillId="9" borderId="2" xfId="0" applyNumberFormat="1" applyFont="1" applyFill="1" applyBorder="1" applyAlignment="1" applyProtection="1">
      <alignment vertical="center" wrapText="1"/>
    </xf>
    <xf numFmtId="164" fontId="11" fillId="9" borderId="7" xfId="0" applyNumberFormat="1" applyFont="1" applyFill="1" applyBorder="1" applyAlignment="1" applyProtection="1">
      <alignment horizontal="center" vertical="center" wrapText="1"/>
    </xf>
    <xf numFmtId="164" fontId="11" fillId="9" borderId="47" xfId="0" applyNumberFormat="1" applyFont="1" applyFill="1" applyBorder="1" applyAlignment="1" applyProtection="1">
      <alignment horizontal="center" vertical="center" wrapText="1"/>
    </xf>
    <xf numFmtId="164" fontId="11" fillId="9" borderId="2" xfId="0" applyNumberFormat="1" applyFont="1" applyFill="1" applyBorder="1" applyAlignment="1" applyProtection="1">
      <alignment horizontal="center" vertical="center" wrapText="1"/>
    </xf>
    <xf numFmtId="164" fontId="11" fillId="9" borderId="25" xfId="0" applyNumberFormat="1" applyFont="1" applyFill="1" applyBorder="1" applyAlignment="1" applyProtection="1">
      <alignment horizontal="center" vertical="center" wrapText="1"/>
    </xf>
    <xf numFmtId="0" fontId="11" fillId="9" borderId="63" xfId="0" applyFont="1" applyFill="1" applyBorder="1" applyAlignment="1" applyProtection="1">
      <alignment vertical="center" wrapText="1"/>
    </xf>
    <xf numFmtId="164" fontId="11" fillId="9" borderId="47" xfId="0" applyNumberFormat="1" applyFont="1" applyFill="1" applyBorder="1" applyAlignment="1">
      <alignment vertical="center" wrapText="1"/>
    </xf>
    <xf numFmtId="164" fontId="11" fillId="9" borderId="2" xfId="0" applyNumberFormat="1" applyFont="1" applyFill="1" applyBorder="1" applyAlignment="1">
      <alignment vertical="center" wrapText="1"/>
    </xf>
    <xf numFmtId="3" fontId="4" fillId="12" borderId="43" xfId="0" applyNumberFormat="1" applyFont="1" applyFill="1" applyBorder="1" applyAlignment="1" applyProtection="1">
      <alignment horizontal="center" vertical="center" wrapText="1"/>
    </xf>
    <xf numFmtId="3" fontId="4" fillId="12" borderId="9" xfId="0" applyNumberFormat="1" applyFont="1" applyFill="1" applyBorder="1" applyAlignment="1" applyProtection="1">
      <alignment horizontal="center" vertical="center" wrapText="1"/>
    </xf>
    <xf numFmtId="3" fontId="4" fillId="12" borderId="52" xfId="0" applyNumberFormat="1" applyFont="1" applyFill="1" applyBorder="1" applyAlignment="1" applyProtection="1">
      <alignment horizontal="center" vertical="center" wrapText="1"/>
    </xf>
    <xf numFmtId="3" fontId="4" fillId="12" borderId="3" xfId="0" applyNumberFormat="1" applyFont="1" applyFill="1" applyBorder="1" applyAlignment="1" applyProtection="1">
      <alignment horizontal="center" vertical="center" wrapText="1"/>
    </xf>
    <xf numFmtId="3" fontId="4" fillId="6" borderId="47" xfId="0" applyNumberFormat="1" applyFont="1" applyFill="1" applyBorder="1" applyAlignment="1" applyProtection="1">
      <alignment horizontal="center" vertical="center" wrapText="1"/>
    </xf>
    <xf numFmtId="3" fontId="4" fillId="6" borderId="2" xfId="0" applyNumberFormat="1" applyFont="1" applyFill="1" applyBorder="1" applyAlignment="1" applyProtection="1">
      <alignment horizontal="center" vertical="center" wrapText="1"/>
    </xf>
    <xf numFmtId="3" fontId="4" fillId="8" borderId="43" xfId="0" applyNumberFormat="1" applyFont="1" applyFill="1" applyBorder="1" applyAlignment="1" applyProtection="1">
      <alignment horizontal="center" vertical="center" wrapText="1"/>
    </xf>
    <xf numFmtId="3" fontId="4" fillId="8" borderId="9" xfId="0" applyNumberFormat="1" applyFont="1" applyFill="1" applyBorder="1" applyAlignment="1" applyProtection="1">
      <alignment horizontal="center" vertical="center" wrapText="1"/>
    </xf>
    <xf numFmtId="0" fontId="12" fillId="6" borderId="0" xfId="0" applyFont="1" applyFill="1" applyBorder="1" applyAlignment="1">
      <alignment vertical="center"/>
    </xf>
    <xf numFmtId="0" fontId="11" fillId="6" borderId="83" xfId="0" applyFont="1" applyFill="1" applyBorder="1" applyAlignment="1">
      <alignment horizontal="center" vertical="center"/>
    </xf>
    <xf numFmtId="14" fontId="10" fillId="6" borderId="83" xfId="0" applyNumberFormat="1" applyFont="1" applyFill="1" applyBorder="1" applyAlignment="1">
      <alignment horizontal="center" vertical="center"/>
    </xf>
    <xf numFmtId="164" fontId="8" fillId="6" borderId="83" xfId="0" applyNumberFormat="1" applyFont="1" applyFill="1" applyBorder="1" applyAlignment="1">
      <alignment horizontal="center" vertical="center"/>
    </xf>
    <xf numFmtId="164" fontId="11" fillId="9" borderId="32" xfId="0" applyNumberFormat="1" applyFont="1" applyFill="1" applyBorder="1" applyAlignment="1" applyProtection="1">
      <alignment horizontal="center" vertical="center" wrapText="1"/>
    </xf>
    <xf numFmtId="164" fontId="11" fillId="9" borderId="63" xfId="0" applyNumberFormat="1" applyFont="1" applyFill="1" applyBorder="1" applyAlignment="1" applyProtection="1">
      <alignment horizontal="center" vertical="center" wrapText="1"/>
    </xf>
    <xf numFmtId="0" fontId="33" fillId="0" borderId="0" xfId="0" applyFont="1" applyAlignment="1">
      <alignment vertical="center" wrapText="1"/>
    </xf>
    <xf numFmtId="164" fontId="11" fillId="9" borderId="72" xfId="0" applyNumberFormat="1" applyFont="1" applyFill="1" applyBorder="1" applyAlignment="1" applyProtection="1">
      <alignment horizontal="center" vertical="center" wrapText="1"/>
    </xf>
    <xf numFmtId="164" fontId="11" fillId="9" borderId="72" xfId="0" applyNumberFormat="1" applyFont="1" applyFill="1" applyBorder="1" applyAlignment="1">
      <alignment vertical="center" wrapText="1"/>
    </xf>
    <xf numFmtId="164" fontId="31" fillId="19" borderId="32" xfId="0" applyNumberFormat="1" applyFont="1" applyFill="1" applyBorder="1" applyAlignment="1">
      <alignment horizontal="center" vertical="center" wrapText="1"/>
    </xf>
    <xf numFmtId="164" fontId="31" fillId="19" borderId="47" xfId="0" applyNumberFormat="1" applyFont="1" applyFill="1" applyBorder="1" applyAlignment="1">
      <alignment horizontal="center" vertical="center" wrapText="1"/>
    </xf>
    <xf numFmtId="164" fontId="31" fillId="19" borderId="2" xfId="0" applyNumberFormat="1" applyFont="1" applyFill="1" applyBorder="1" applyAlignment="1">
      <alignment horizontal="center" vertical="center" wrapText="1"/>
    </xf>
    <xf numFmtId="164" fontId="31" fillId="19" borderId="63" xfId="0" applyNumberFormat="1" applyFont="1" applyFill="1" applyBorder="1" applyAlignment="1">
      <alignment horizontal="center" vertical="center" wrapText="1"/>
    </xf>
    <xf numFmtId="49" fontId="32" fillId="8" borderId="124" xfId="0" applyNumberFormat="1" applyFont="1" applyFill="1" applyBorder="1" applyAlignment="1">
      <alignment horizontal="center" vertical="center"/>
    </xf>
    <xf numFmtId="49" fontId="32" fillId="8" borderId="125" xfId="0" applyNumberFormat="1" applyFont="1" applyFill="1" applyBorder="1" applyAlignment="1">
      <alignment horizontal="center" vertical="center"/>
    </xf>
    <xf numFmtId="3" fontId="12" fillId="8" borderId="122" xfId="0" applyNumberFormat="1" applyFont="1" applyFill="1" applyBorder="1" applyAlignment="1">
      <alignment horizontal="center" vertical="center" wrapText="1"/>
    </xf>
    <xf numFmtId="3" fontId="12" fillId="8" borderId="1" xfId="0" applyNumberFormat="1" applyFont="1" applyFill="1" applyBorder="1" applyAlignment="1">
      <alignment horizontal="center" vertical="center" wrapText="1"/>
    </xf>
    <xf numFmtId="0" fontId="12" fillId="8" borderId="123" xfId="0" applyFont="1" applyFill="1" applyBorder="1" applyAlignment="1">
      <alignment horizontal="center" vertical="center" wrapText="1"/>
    </xf>
    <xf numFmtId="0" fontId="12" fillId="8" borderId="124" xfId="0" applyFont="1" applyFill="1" applyBorder="1" applyAlignment="1">
      <alignment horizontal="center" vertical="center" wrapText="1"/>
    </xf>
    <xf numFmtId="0" fontId="11" fillId="5" borderId="52" xfId="0" quotePrefix="1" applyFont="1" applyFill="1" applyBorder="1" applyAlignment="1">
      <alignment horizontal="left" vertical="top" wrapText="1"/>
    </xf>
    <xf numFmtId="0" fontId="11" fillId="5" borderId="53" xfId="0" quotePrefix="1" applyFont="1" applyFill="1" applyBorder="1" applyAlignment="1">
      <alignment horizontal="left" vertical="top" wrapText="1"/>
    </xf>
    <xf numFmtId="0" fontId="11" fillId="5" borderId="3" xfId="0" quotePrefix="1" applyFont="1" applyFill="1" applyBorder="1" applyAlignment="1">
      <alignment horizontal="left" vertical="top" wrapText="1"/>
    </xf>
    <xf numFmtId="0" fontId="12" fillId="8" borderId="122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14" fontId="32" fillId="8" borderId="1" xfId="0" applyNumberFormat="1" applyFont="1" applyFill="1" applyBorder="1" applyAlignment="1">
      <alignment horizontal="center" vertical="center"/>
    </xf>
    <xf numFmtId="0" fontId="32" fillId="8" borderId="118" xfId="0" applyFont="1" applyFill="1" applyBorder="1" applyAlignment="1">
      <alignment horizontal="center" vertical="center"/>
    </xf>
    <xf numFmtId="0" fontId="12" fillId="8" borderId="119" xfId="0" applyFont="1" applyFill="1" applyBorder="1" applyAlignment="1">
      <alignment horizontal="center" vertical="center" wrapText="1"/>
    </xf>
    <xf numFmtId="0" fontId="12" fillId="8" borderId="120" xfId="0" applyFont="1" applyFill="1" applyBorder="1" applyAlignment="1">
      <alignment horizontal="center" vertical="center" wrapText="1"/>
    </xf>
    <xf numFmtId="14" fontId="32" fillId="8" borderId="120" xfId="0" applyNumberFormat="1" applyFont="1" applyFill="1" applyBorder="1" applyAlignment="1">
      <alignment horizontal="center" vertical="center"/>
    </xf>
    <xf numFmtId="0" fontId="32" fillId="8" borderId="121" xfId="0" applyFont="1" applyFill="1" applyBorder="1" applyAlignment="1">
      <alignment horizontal="center" vertical="center"/>
    </xf>
    <xf numFmtId="49" fontId="32" fillId="8" borderId="1" xfId="0" applyNumberFormat="1" applyFont="1" applyFill="1" applyBorder="1" applyAlignment="1">
      <alignment horizontal="center" vertical="center"/>
    </xf>
    <xf numFmtId="49" fontId="32" fillId="8" borderId="118" xfId="0" applyNumberFormat="1" applyFont="1" applyFill="1" applyBorder="1" applyAlignment="1">
      <alignment horizontal="center" vertical="center"/>
    </xf>
    <xf numFmtId="0" fontId="22" fillId="14" borderId="63" xfId="0" applyFont="1" applyFill="1" applyBorder="1" applyAlignment="1" applyProtection="1">
      <alignment horizontal="center" vertical="center"/>
    </xf>
    <xf numFmtId="0" fontId="22" fillId="14" borderId="72" xfId="0" applyFont="1" applyFill="1" applyBorder="1" applyAlignment="1" applyProtection="1">
      <alignment horizontal="center" vertical="center"/>
    </xf>
    <xf numFmtId="0" fontId="22" fillId="14" borderId="63" xfId="0" applyFont="1" applyFill="1" applyBorder="1" applyAlignment="1" applyProtection="1">
      <alignment horizontal="center" vertical="center" wrapText="1"/>
    </xf>
    <xf numFmtId="0" fontId="22" fillId="14" borderId="72" xfId="0" applyFont="1" applyFill="1" applyBorder="1" applyAlignment="1" applyProtection="1">
      <alignment horizontal="center" vertical="center" wrapText="1"/>
    </xf>
    <xf numFmtId="0" fontId="11" fillId="14" borderId="63" xfId="0" applyFont="1" applyFill="1" applyBorder="1" applyAlignment="1" applyProtection="1">
      <alignment horizontal="center" vertical="center" wrapText="1"/>
    </xf>
    <xf numFmtId="0" fontId="11" fillId="14" borderId="72" xfId="0" applyFont="1" applyFill="1" applyBorder="1" applyAlignment="1" applyProtection="1">
      <alignment horizontal="center" vertical="center" wrapText="1"/>
    </xf>
    <xf numFmtId="0" fontId="11" fillId="5" borderId="47" xfId="0" quotePrefix="1" applyFont="1" applyFill="1" applyBorder="1" applyAlignment="1">
      <alignment horizontal="left" vertical="top" wrapText="1"/>
    </xf>
    <xf numFmtId="0" fontId="11" fillId="5" borderId="32" xfId="0" applyFont="1" applyFill="1" applyBorder="1" applyAlignment="1">
      <alignment horizontal="left" vertical="top" wrapText="1"/>
    </xf>
    <xf numFmtId="0" fontId="11" fillId="5" borderId="2" xfId="0" applyFont="1" applyFill="1" applyBorder="1" applyAlignment="1">
      <alignment horizontal="left" vertical="top" wrapText="1"/>
    </xf>
    <xf numFmtId="0" fontId="31" fillId="9" borderId="63" xfId="0" applyFont="1" applyFill="1" applyBorder="1" applyAlignment="1">
      <alignment horizontal="center" vertical="center" wrapText="1"/>
    </xf>
    <xf numFmtId="0" fontId="31" fillId="9" borderId="72" xfId="0" applyFont="1" applyFill="1" applyBorder="1" applyAlignment="1">
      <alignment horizontal="center" vertical="center" wrapText="1"/>
    </xf>
    <xf numFmtId="0" fontId="6" fillId="6" borderId="0" xfId="0" applyFont="1" applyFill="1" applyBorder="1" applyAlignment="1">
      <alignment horizontal="center" vertical="top" wrapText="1"/>
    </xf>
    <xf numFmtId="0" fontId="11" fillId="11" borderId="57" xfId="0" applyFont="1" applyFill="1" applyBorder="1" applyAlignment="1" applyProtection="1">
      <alignment horizontal="center" vertical="center" wrapText="1"/>
    </xf>
    <xf numFmtId="0" fontId="11" fillId="11" borderId="68" xfId="0" applyFont="1" applyFill="1" applyBorder="1" applyAlignment="1" applyProtection="1">
      <alignment horizontal="center" vertical="center" wrapText="1"/>
    </xf>
    <xf numFmtId="0" fontId="11" fillId="11" borderId="78" xfId="0" applyFont="1" applyFill="1" applyBorder="1" applyAlignment="1" applyProtection="1">
      <alignment horizontal="center" vertical="center" wrapText="1"/>
    </xf>
    <xf numFmtId="0" fontId="11" fillId="11" borderId="80" xfId="0" applyFont="1" applyFill="1" applyBorder="1" applyAlignment="1" applyProtection="1">
      <alignment horizontal="center" vertical="center" wrapText="1"/>
    </xf>
    <xf numFmtId="0" fontId="11" fillId="11" borderId="73" xfId="0" applyFont="1" applyFill="1" applyBorder="1" applyAlignment="1" applyProtection="1">
      <alignment horizontal="center" vertical="center" wrapText="1"/>
    </xf>
    <xf numFmtId="0" fontId="11" fillId="11" borderId="74" xfId="0" applyFont="1" applyFill="1" applyBorder="1" applyAlignment="1" applyProtection="1">
      <alignment horizontal="center" vertical="center" wrapText="1"/>
    </xf>
    <xf numFmtId="164" fontId="11" fillId="9" borderId="63" xfId="0" applyNumberFormat="1" applyFont="1" applyFill="1" applyBorder="1" applyAlignment="1" applyProtection="1">
      <alignment horizontal="center" vertical="center" wrapText="1"/>
    </xf>
    <xf numFmtId="164" fontId="11" fillId="9" borderId="32" xfId="0" applyNumberFormat="1" applyFont="1" applyFill="1" applyBorder="1" applyAlignment="1" applyProtection="1">
      <alignment horizontal="center" vertical="center" wrapText="1"/>
    </xf>
    <xf numFmtId="164" fontId="0" fillId="5" borderId="70" xfId="0" applyNumberFormat="1" applyFont="1" applyFill="1" applyBorder="1" applyAlignment="1">
      <alignment horizontal="center" vertical="top" wrapText="1"/>
    </xf>
    <xf numFmtId="164" fontId="0" fillId="5" borderId="53" xfId="0" applyNumberFormat="1" applyFont="1" applyFill="1" applyBorder="1" applyAlignment="1">
      <alignment horizontal="center" vertical="top"/>
    </xf>
    <xf numFmtId="164" fontId="0" fillId="5" borderId="57" xfId="0" applyNumberFormat="1" applyFont="1" applyFill="1" applyBorder="1" applyAlignment="1">
      <alignment horizontal="center" vertical="top"/>
    </xf>
    <xf numFmtId="164" fontId="0" fillId="5" borderId="0" xfId="0" applyNumberFormat="1" applyFont="1" applyFill="1" applyBorder="1" applyAlignment="1">
      <alignment horizontal="center" vertical="top"/>
    </xf>
    <xf numFmtId="164" fontId="0" fillId="5" borderId="62" xfId="0" applyNumberFormat="1" applyFont="1" applyFill="1" applyBorder="1" applyAlignment="1">
      <alignment horizontal="center" vertical="top"/>
    </xf>
    <xf numFmtId="164" fontId="0" fillId="5" borderId="40" xfId="0" applyNumberFormat="1" applyFont="1" applyFill="1" applyBorder="1" applyAlignment="1">
      <alignment horizontal="center" vertical="top"/>
    </xf>
    <xf numFmtId="0" fontId="11" fillId="11" borderId="81" xfId="0" applyFont="1" applyFill="1" applyBorder="1" applyAlignment="1" applyProtection="1">
      <alignment horizontal="center" vertical="center" wrapText="1"/>
    </xf>
    <xf numFmtId="0" fontId="11" fillId="11" borderId="82" xfId="0" applyFont="1" applyFill="1" applyBorder="1" applyAlignment="1" applyProtection="1">
      <alignment horizontal="center" vertical="center" wrapText="1"/>
    </xf>
    <xf numFmtId="0" fontId="11" fillId="11" borderId="69" xfId="0" applyFont="1" applyFill="1" applyBorder="1" applyAlignment="1" applyProtection="1">
      <alignment horizontal="center" vertical="center" wrapText="1"/>
    </xf>
    <xf numFmtId="0" fontId="11" fillId="14" borderId="70" xfId="0" applyFont="1" applyFill="1" applyBorder="1" applyAlignment="1" applyProtection="1">
      <alignment horizontal="center" vertical="center" wrapText="1"/>
    </xf>
    <xf numFmtId="0" fontId="11" fillId="14" borderId="71" xfId="0" applyFont="1" applyFill="1" applyBorder="1" applyAlignment="1" applyProtection="1">
      <alignment horizontal="center" vertical="center" wrapText="1"/>
    </xf>
    <xf numFmtId="0" fontId="11" fillId="14" borderId="116" xfId="0" applyFont="1" applyFill="1" applyBorder="1" applyAlignment="1" applyProtection="1">
      <alignment horizontal="center" vertical="center" wrapText="1"/>
    </xf>
    <xf numFmtId="0" fontId="11" fillId="14" borderId="117" xfId="0" applyFont="1" applyFill="1" applyBorder="1" applyAlignment="1" applyProtection="1">
      <alignment horizontal="center" vertical="center" wrapText="1"/>
    </xf>
    <xf numFmtId="164" fontId="11" fillId="9" borderId="32" xfId="0" applyNumberFormat="1" applyFont="1" applyFill="1" applyBorder="1" applyAlignment="1">
      <alignment horizontal="center" vertical="center" wrapText="1"/>
    </xf>
    <xf numFmtId="164" fontId="22" fillId="10" borderId="78" xfId="0" applyNumberFormat="1" applyFont="1" applyFill="1" applyBorder="1" applyAlignment="1">
      <alignment horizontal="center" vertical="center" wrapText="1"/>
    </xf>
    <xf numFmtId="164" fontId="22" fillId="10" borderId="79" xfId="0" applyNumberFormat="1" applyFont="1" applyFill="1" applyBorder="1" applyAlignment="1">
      <alignment horizontal="center" vertical="center" wrapText="1"/>
    </xf>
    <xf numFmtId="164" fontId="31" fillId="9" borderId="63" xfId="0" applyNumberFormat="1" applyFont="1" applyFill="1" applyBorder="1" applyAlignment="1">
      <alignment horizontal="center" vertical="center" wrapText="1"/>
    </xf>
    <xf numFmtId="164" fontId="31" fillId="9" borderId="32" xfId="0" applyNumberFormat="1" applyFont="1" applyFill="1" applyBorder="1" applyAlignment="1">
      <alignment horizontal="center" vertical="center" wrapText="1"/>
    </xf>
    <xf numFmtId="164" fontId="31" fillId="19" borderId="7" xfId="0" applyNumberFormat="1" applyFont="1" applyFill="1" applyBorder="1" applyAlignment="1">
      <alignment horizontal="center" vertical="center" wrapText="1"/>
    </xf>
    <xf numFmtId="164" fontId="31" fillId="19" borderId="25" xfId="0" applyNumberFormat="1" applyFont="1" applyFill="1" applyBorder="1" applyAlignment="1">
      <alignment horizontal="center" vertical="center" wrapText="1"/>
    </xf>
    <xf numFmtId="0" fontId="22" fillId="14" borderId="116" xfId="0" applyFont="1" applyFill="1" applyBorder="1" applyAlignment="1" applyProtection="1">
      <alignment horizontal="center" vertical="center"/>
    </xf>
    <xf numFmtId="0" fontId="22" fillId="14" borderId="117" xfId="0" applyFont="1" applyFill="1" applyBorder="1" applyAlignment="1" applyProtection="1">
      <alignment horizontal="center" vertical="center"/>
    </xf>
    <xf numFmtId="0" fontId="0" fillId="6" borderId="0" xfId="0" applyFont="1" applyFill="1" applyAlignment="1">
      <alignment horizontal="left" vertical="top" wrapText="1"/>
    </xf>
    <xf numFmtId="164" fontId="5" fillId="15" borderId="90" xfId="0" applyNumberFormat="1" applyFont="1" applyFill="1" applyBorder="1" applyAlignment="1" applyProtection="1">
      <alignment horizontal="center" vertical="center" wrapText="1"/>
    </xf>
    <xf numFmtId="164" fontId="5" fillId="15" borderId="12" xfId="0" applyNumberFormat="1" applyFont="1" applyFill="1" applyBorder="1" applyAlignment="1" applyProtection="1">
      <alignment horizontal="center" vertical="center" wrapText="1"/>
    </xf>
    <xf numFmtId="164" fontId="5" fillId="15" borderId="34" xfId="0" applyNumberFormat="1" applyFont="1" applyFill="1" applyBorder="1" applyAlignment="1" applyProtection="1">
      <alignment horizontal="center" vertical="center" wrapText="1"/>
    </xf>
    <xf numFmtId="164" fontId="5" fillId="15" borderId="11" xfId="0" applyNumberFormat="1" applyFont="1" applyFill="1" applyBorder="1" applyAlignment="1" applyProtection="1">
      <alignment horizontal="center" vertical="center" wrapText="1"/>
    </xf>
    <xf numFmtId="164" fontId="5" fillId="15" borderId="77" xfId="0" applyNumberFormat="1" applyFont="1" applyFill="1" applyBorder="1" applyAlignment="1" applyProtection="1">
      <alignment horizontal="center" vertical="center" wrapText="1"/>
    </xf>
    <xf numFmtId="0" fontId="0" fillId="6" borderId="40" xfId="0" applyFont="1" applyFill="1" applyBorder="1" applyAlignment="1">
      <alignment horizontal="center"/>
    </xf>
    <xf numFmtId="164" fontId="22" fillId="10" borderId="6" xfId="0" applyNumberFormat="1" applyFont="1" applyFill="1" applyBorder="1" applyAlignment="1">
      <alignment horizontal="center" vertical="center" wrapText="1"/>
    </xf>
    <xf numFmtId="164" fontId="22" fillId="10" borderId="8" xfId="0" applyNumberFormat="1" applyFont="1" applyFill="1" applyBorder="1" applyAlignment="1">
      <alignment horizontal="center" vertical="center" wrapText="1"/>
    </xf>
    <xf numFmtId="164" fontId="22" fillId="10" borderId="19" xfId="0" applyNumberFormat="1" applyFont="1" applyFill="1" applyBorder="1" applyAlignment="1">
      <alignment horizontal="center" vertical="center" wrapText="1"/>
    </xf>
    <xf numFmtId="164" fontId="5" fillId="15" borderId="6" xfId="0" applyNumberFormat="1" applyFont="1" applyFill="1" applyBorder="1" applyAlignment="1">
      <alignment horizontal="center" vertical="center" wrapText="1"/>
    </xf>
    <xf numFmtId="164" fontId="5" fillId="15" borderId="8" xfId="0" applyNumberFormat="1" applyFont="1" applyFill="1" applyBorder="1" applyAlignment="1">
      <alignment horizontal="center" vertical="center" wrapText="1"/>
    </xf>
    <xf numFmtId="164" fontId="5" fillId="15" borderId="19" xfId="0" applyNumberFormat="1" applyFont="1" applyFill="1" applyBorder="1" applyAlignment="1">
      <alignment horizontal="center" vertical="center" wrapText="1"/>
    </xf>
    <xf numFmtId="164" fontId="0" fillId="5" borderId="17" xfId="0" applyNumberFormat="1" applyFont="1" applyFill="1" applyBorder="1" applyAlignment="1">
      <alignment horizontal="center" vertical="top" wrapText="1"/>
    </xf>
    <xf numFmtId="164" fontId="0" fillId="5" borderId="54" xfId="0" applyNumberFormat="1" applyFont="1" applyFill="1" applyBorder="1" applyAlignment="1">
      <alignment horizontal="center" vertical="top"/>
    </xf>
    <xf numFmtId="164" fontId="0" fillId="5" borderId="28" xfId="0" applyNumberFormat="1" applyFont="1" applyFill="1" applyBorder="1" applyAlignment="1">
      <alignment horizontal="center" vertical="top"/>
    </xf>
    <xf numFmtId="164" fontId="0" fillId="5" borderId="33" xfId="0" applyNumberFormat="1" applyFont="1" applyFill="1" applyBorder="1" applyAlignment="1">
      <alignment horizontal="center" vertical="top"/>
    </xf>
    <xf numFmtId="164" fontId="0" fillId="5" borderId="39" xfId="0" applyNumberFormat="1" applyFont="1" applyFill="1" applyBorder="1" applyAlignment="1">
      <alignment horizontal="center" vertical="top"/>
    </xf>
    <xf numFmtId="164" fontId="0" fillId="5" borderId="55" xfId="0" applyNumberFormat="1" applyFont="1" applyFill="1" applyBorder="1" applyAlignment="1">
      <alignment horizontal="center" vertical="top"/>
    </xf>
    <xf numFmtId="164" fontId="5" fillId="15" borderId="10" xfId="0" applyNumberFormat="1" applyFont="1" applyFill="1" applyBorder="1" applyAlignment="1">
      <alignment horizontal="center" vertical="center" wrapText="1"/>
    </xf>
    <xf numFmtId="164" fontId="5" fillId="15" borderId="12" xfId="0" applyNumberFormat="1" applyFont="1" applyFill="1" applyBorder="1" applyAlignment="1">
      <alignment horizontal="center" vertical="center" wrapText="1"/>
    </xf>
    <xf numFmtId="164" fontId="5" fillId="15" borderId="11" xfId="0" applyNumberFormat="1" applyFont="1" applyFill="1" applyBorder="1" applyAlignment="1">
      <alignment horizontal="center" vertical="center" wrapText="1"/>
    </xf>
    <xf numFmtId="0" fontId="5" fillId="18" borderId="10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164" fontId="5" fillId="15" borderId="36" xfId="0" applyNumberFormat="1" applyFont="1" applyFill="1" applyBorder="1" applyAlignment="1" applyProtection="1">
      <alignment horizontal="center" vertical="center" wrapText="1"/>
    </xf>
    <xf numFmtId="164" fontId="5" fillId="15" borderId="77" xfId="0" applyNumberFormat="1" applyFont="1" applyFill="1" applyBorder="1" applyAlignment="1">
      <alignment horizontal="center" vertical="center" wrapText="1"/>
    </xf>
    <xf numFmtId="164" fontId="5" fillId="9" borderId="77" xfId="0" applyNumberFormat="1" applyFont="1" applyFill="1" applyBorder="1" applyAlignment="1" applyProtection="1">
      <alignment horizontal="center" vertical="center" wrapText="1"/>
    </xf>
    <xf numFmtId="164" fontId="5" fillId="9" borderId="12" xfId="0" applyNumberFormat="1" applyFont="1" applyFill="1" applyBorder="1" applyAlignment="1" applyProtection="1">
      <alignment horizontal="center" vertical="center" wrapText="1"/>
    </xf>
    <xf numFmtId="164" fontId="5" fillId="9" borderId="35" xfId="0" applyNumberFormat="1" applyFont="1" applyFill="1" applyBorder="1" applyAlignment="1" applyProtection="1">
      <alignment horizontal="center" vertical="center" wrapText="1"/>
    </xf>
    <xf numFmtId="164" fontId="5" fillId="9" borderId="11" xfId="0" applyNumberFormat="1" applyFont="1" applyFill="1" applyBorder="1" applyAlignment="1" applyProtection="1">
      <alignment horizontal="center" vertical="center" wrapText="1"/>
    </xf>
    <xf numFmtId="0" fontId="9" fillId="6" borderId="40" xfId="0" applyFont="1" applyFill="1" applyBorder="1" applyAlignment="1">
      <alignment horizontal="center" wrapText="1"/>
    </xf>
    <xf numFmtId="164" fontId="22" fillId="10" borderId="80" xfId="0" applyNumberFormat="1" applyFont="1" applyFill="1" applyBorder="1" applyAlignment="1">
      <alignment horizontal="center" vertical="center" wrapText="1"/>
    </xf>
    <xf numFmtId="164" fontId="5" fillId="15" borderId="81" xfId="0" applyNumberFormat="1" applyFont="1" applyFill="1" applyBorder="1" applyAlignment="1">
      <alignment horizontal="center" vertical="center" wrapText="1"/>
    </xf>
    <xf numFmtId="164" fontId="5" fillId="15" borderId="82" xfId="0" applyNumberFormat="1" applyFont="1" applyFill="1" applyBorder="1" applyAlignment="1">
      <alignment horizontal="center" vertical="center" wrapText="1"/>
    </xf>
    <xf numFmtId="164" fontId="0" fillId="0" borderId="70" xfId="0" applyNumberFormat="1" applyFont="1" applyFill="1" applyBorder="1" applyAlignment="1">
      <alignment horizontal="center" vertical="top" wrapText="1"/>
    </xf>
    <xf numFmtId="164" fontId="0" fillId="0" borderId="53" xfId="0" applyNumberFormat="1" applyFont="1" applyFill="1" applyBorder="1" applyAlignment="1">
      <alignment horizontal="center" vertical="top"/>
    </xf>
    <xf numFmtId="164" fontId="0" fillId="0" borderId="71" xfId="0" applyNumberFormat="1" applyFont="1" applyFill="1" applyBorder="1" applyAlignment="1">
      <alignment horizontal="center" vertical="top"/>
    </xf>
    <xf numFmtId="164" fontId="0" fillId="0" borderId="57" xfId="0" applyNumberFormat="1" applyFont="1" applyFill="1" applyBorder="1" applyAlignment="1">
      <alignment horizontal="center" vertical="top"/>
    </xf>
    <xf numFmtId="164" fontId="0" fillId="0" borderId="0" xfId="0" applyNumberFormat="1" applyFont="1" applyFill="1" applyBorder="1" applyAlignment="1">
      <alignment horizontal="center" vertical="top"/>
    </xf>
    <xf numFmtId="164" fontId="0" fillId="0" borderId="68" xfId="0" applyNumberFormat="1" applyFont="1" applyFill="1" applyBorder="1" applyAlignment="1">
      <alignment horizontal="center" vertical="top"/>
    </xf>
    <xf numFmtId="164" fontId="0" fillId="0" borderId="62" xfId="0" applyNumberFormat="1" applyFont="1" applyFill="1" applyBorder="1" applyAlignment="1">
      <alignment horizontal="center" vertical="top"/>
    </xf>
    <xf numFmtId="164" fontId="0" fillId="0" borderId="40" xfId="0" applyNumberFormat="1" applyFont="1" applyFill="1" applyBorder="1" applyAlignment="1">
      <alignment horizontal="center" vertical="top"/>
    </xf>
    <xf numFmtId="164" fontId="0" fillId="0" borderId="69" xfId="0" applyNumberFormat="1" applyFont="1" applyFill="1" applyBorder="1" applyAlignment="1">
      <alignment horizontal="center" vertical="top"/>
    </xf>
    <xf numFmtId="164" fontId="5" fillId="15" borderId="75" xfId="0" applyNumberFormat="1" applyFont="1" applyFill="1" applyBorder="1" applyAlignment="1">
      <alignment horizontal="center" vertical="center" wrapText="1"/>
    </xf>
    <xf numFmtId="0" fontId="5" fillId="18" borderId="18" xfId="0" applyFont="1" applyFill="1" applyBorder="1" applyAlignment="1">
      <alignment horizontal="center" wrapText="1"/>
    </xf>
    <xf numFmtId="0" fontId="5" fillId="0" borderId="35" xfId="0" applyFont="1" applyBorder="1" applyAlignment="1">
      <alignment horizontal="center" wrapText="1"/>
    </xf>
    <xf numFmtId="164" fontId="22" fillId="15" borderId="96" xfId="0" applyNumberFormat="1" applyFont="1" applyFill="1" applyBorder="1" applyAlignment="1" applyProtection="1">
      <alignment horizontal="center" vertical="center" wrapText="1"/>
    </xf>
    <xf numFmtId="164" fontId="22" fillId="15" borderId="97" xfId="0" applyNumberFormat="1" applyFont="1" applyFill="1" applyBorder="1" applyAlignment="1" applyProtection="1">
      <alignment horizontal="center" vertical="center" wrapText="1"/>
    </xf>
    <xf numFmtId="164" fontId="5" fillId="15" borderId="75" xfId="0" applyNumberFormat="1" applyFont="1" applyFill="1" applyBorder="1" applyAlignment="1" applyProtection="1">
      <alignment horizontal="center" vertical="center" wrapText="1"/>
    </xf>
    <xf numFmtId="164" fontId="0" fillId="5" borderId="71" xfId="0" applyNumberFormat="1" applyFont="1" applyFill="1" applyBorder="1" applyAlignment="1">
      <alignment horizontal="center" vertical="top"/>
    </xf>
    <xf numFmtId="164" fontId="0" fillId="5" borderId="68" xfId="0" applyNumberFormat="1" applyFont="1" applyFill="1" applyBorder="1" applyAlignment="1">
      <alignment horizontal="center" vertical="top"/>
    </xf>
    <xf numFmtId="164" fontId="0" fillId="5" borderId="69" xfId="0" applyNumberFormat="1" applyFont="1" applyFill="1" applyBorder="1" applyAlignment="1">
      <alignment horizontal="center" vertical="top"/>
    </xf>
    <xf numFmtId="164" fontId="5" fillId="15" borderId="32" xfId="0" applyNumberFormat="1" applyFont="1" applyFill="1" applyBorder="1" applyAlignment="1" applyProtection="1">
      <alignment horizontal="center" vertical="center" wrapText="1"/>
    </xf>
    <xf numFmtId="164" fontId="5" fillId="15" borderId="69" xfId="0" applyNumberFormat="1" applyFont="1" applyFill="1" applyBorder="1" applyAlignment="1" applyProtection="1">
      <alignment horizontal="center" vertical="center" wrapText="1"/>
    </xf>
    <xf numFmtId="164" fontId="5" fillId="15" borderId="40" xfId="0" applyNumberFormat="1" applyFont="1" applyFill="1" applyBorder="1" applyAlignment="1" applyProtection="1">
      <alignment horizontal="center" vertical="center" wrapText="1"/>
    </xf>
    <xf numFmtId="164" fontId="5" fillId="15" borderId="72" xfId="0" applyNumberFormat="1" applyFont="1" applyFill="1" applyBorder="1" applyAlignment="1" applyProtection="1">
      <alignment horizontal="center" vertical="center" wrapText="1"/>
    </xf>
    <xf numFmtId="164" fontId="7" fillId="15" borderId="77" xfId="0" applyNumberFormat="1" applyFont="1" applyFill="1" applyBorder="1" applyAlignment="1" applyProtection="1">
      <alignment horizontal="center" vertical="center" wrapText="1"/>
    </xf>
    <xf numFmtId="164" fontId="7" fillId="15" borderId="12" xfId="0" applyNumberFormat="1" applyFont="1" applyFill="1" applyBorder="1" applyAlignment="1" applyProtection="1">
      <alignment horizontal="center" vertical="center" wrapText="1"/>
    </xf>
    <xf numFmtId="164" fontId="7" fillId="15" borderId="75" xfId="0" applyNumberFormat="1" applyFont="1" applyFill="1" applyBorder="1" applyAlignment="1" applyProtection="1">
      <alignment horizontal="center" vertical="center" wrapText="1"/>
    </xf>
    <xf numFmtId="164" fontId="0" fillId="5" borderId="70" xfId="0" applyNumberFormat="1" applyFont="1" applyFill="1" applyBorder="1" applyAlignment="1">
      <alignment horizontal="center" wrapText="1"/>
    </xf>
    <xf numFmtId="164" fontId="0" fillId="5" borderId="53" xfId="0" applyNumberFormat="1" applyFont="1" applyFill="1" applyBorder="1" applyAlignment="1">
      <alignment horizontal="center"/>
    </xf>
    <xf numFmtId="164" fontId="0" fillId="5" borderId="71" xfId="0" applyNumberFormat="1" applyFont="1" applyFill="1" applyBorder="1" applyAlignment="1">
      <alignment horizontal="center"/>
    </xf>
    <xf numFmtId="164" fontId="0" fillId="5" borderId="57" xfId="0" applyNumberFormat="1" applyFont="1" applyFill="1" applyBorder="1" applyAlignment="1">
      <alignment horizontal="center"/>
    </xf>
    <xf numFmtId="164" fontId="0" fillId="5" borderId="0" xfId="0" applyNumberFormat="1" applyFont="1" applyFill="1" applyBorder="1" applyAlignment="1">
      <alignment horizontal="center"/>
    </xf>
    <xf numFmtId="164" fontId="0" fillId="5" borderId="68" xfId="0" applyNumberFormat="1" applyFont="1" applyFill="1" applyBorder="1" applyAlignment="1">
      <alignment horizontal="center"/>
    </xf>
    <xf numFmtId="164" fontId="0" fillId="5" borderId="62" xfId="0" applyNumberFormat="1" applyFont="1" applyFill="1" applyBorder="1" applyAlignment="1">
      <alignment horizontal="center"/>
    </xf>
    <xf numFmtId="164" fontId="0" fillId="5" borderId="40" xfId="0" applyNumberFormat="1" applyFont="1" applyFill="1" applyBorder="1" applyAlignment="1">
      <alignment horizontal="center"/>
    </xf>
    <xf numFmtId="164" fontId="0" fillId="5" borderId="69" xfId="0" applyNumberFormat="1" applyFont="1" applyFill="1" applyBorder="1" applyAlignment="1">
      <alignment horizontal="center"/>
    </xf>
    <xf numFmtId="164" fontId="7" fillId="15" borderId="77" xfId="0" applyNumberFormat="1" applyFont="1" applyFill="1" applyBorder="1" applyAlignment="1">
      <alignment horizontal="center" vertical="center" wrapText="1"/>
    </xf>
    <xf numFmtId="164" fontId="7" fillId="15" borderId="12" xfId="0" applyNumberFormat="1" applyFont="1" applyFill="1" applyBorder="1" applyAlignment="1">
      <alignment horizontal="center" vertical="center" wrapText="1"/>
    </xf>
    <xf numFmtId="164" fontId="7" fillId="15" borderId="75" xfId="0" applyNumberFormat="1" applyFont="1" applyFill="1" applyBorder="1" applyAlignment="1">
      <alignment horizontal="center" vertical="center" wrapText="1"/>
    </xf>
    <xf numFmtId="164" fontId="18" fillId="15" borderId="7" xfId="0" applyNumberFormat="1" applyFont="1" applyFill="1" applyBorder="1" applyAlignment="1">
      <alignment horizontal="center" vertical="center" wrapText="1"/>
    </xf>
    <xf numFmtId="164" fontId="18" fillId="15" borderId="32" xfId="0" applyNumberFormat="1" applyFont="1" applyFill="1" applyBorder="1" applyAlignment="1">
      <alignment horizontal="center" vertical="center" wrapText="1"/>
    </xf>
    <xf numFmtId="164" fontId="18" fillId="15" borderId="72" xfId="0" applyNumberFormat="1" applyFont="1" applyFill="1" applyBorder="1" applyAlignment="1">
      <alignment horizontal="center" vertical="center" wrapText="1"/>
    </xf>
    <xf numFmtId="0" fontId="12" fillId="10" borderId="92" xfId="0" applyFont="1" applyFill="1" applyBorder="1" applyAlignment="1">
      <alignment horizontal="center" vertical="center"/>
    </xf>
    <xf numFmtId="0" fontId="12" fillId="10" borderId="93" xfId="0" applyFont="1" applyFill="1" applyBorder="1" applyAlignment="1">
      <alignment horizontal="center" vertical="center"/>
    </xf>
    <xf numFmtId="0" fontId="12" fillId="10" borderId="94" xfId="0" applyFont="1" applyFill="1" applyBorder="1" applyAlignment="1">
      <alignment horizontal="center" vertical="center"/>
    </xf>
    <xf numFmtId="164" fontId="19" fillId="15" borderId="78" xfId="0" applyNumberFormat="1" applyFont="1" applyFill="1" applyBorder="1" applyAlignment="1">
      <alignment horizontal="center" vertical="center" wrapText="1"/>
    </xf>
    <xf numFmtId="164" fontId="19" fillId="15" borderId="79" xfId="0" applyNumberFormat="1" applyFont="1" applyFill="1" applyBorder="1" applyAlignment="1">
      <alignment horizontal="center" vertical="center" wrapText="1"/>
    </xf>
    <xf numFmtId="164" fontId="19" fillId="15" borderId="8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0" fillId="0" borderId="0" xfId="0"/>
    <xf numFmtId="0" fontId="33" fillId="0" borderId="0" xfId="0" applyFont="1" applyAlignment="1">
      <alignment vertical="center" wrapText="1"/>
    </xf>
    <xf numFmtId="49" fontId="0" fillId="6" borderId="0" xfId="0" applyNumberFormat="1" applyFont="1" applyFill="1"/>
    <xf numFmtId="49" fontId="34" fillId="6" borderId="0" xfId="0" applyNumberFormat="1" applyFont="1" applyFill="1"/>
    <xf numFmtId="1" fontId="11" fillId="6" borderId="52" xfId="0" applyNumberFormat="1" applyFont="1" applyFill="1" applyBorder="1" applyAlignment="1" applyProtection="1">
      <alignment horizontal="center" vertical="center" wrapText="1"/>
    </xf>
    <xf numFmtId="1" fontId="11" fillId="6" borderId="53" xfId="0" applyNumberFormat="1" applyFont="1" applyFill="1" applyBorder="1" applyAlignment="1" applyProtection="1">
      <alignment horizontal="center" vertical="center" wrapText="1"/>
    </xf>
    <xf numFmtId="1" fontId="11" fillId="6" borderId="3" xfId="0" applyNumberFormat="1" applyFont="1" applyFill="1" applyBorder="1" applyAlignment="1" applyProtection="1">
      <alignment horizontal="center" vertical="center" wrapText="1"/>
    </xf>
    <xf numFmtId="1" fontId="11" fillId="6" borderId="73" xfId="0" applyNumberFormat="1" applyFont="1" applyFill="1" applyBorder="1" applyAlignment="1" applyProtection="1">
      <alignment horizontal="center" vertical="center" wrapText="1"/>
    </xf>
    <xf numFmtId="1" fontId="11" fillId="6" borderId="83" xfId="0" applyNumberFormat="1" applyFont="1" applyFill="1" applyBorder="1" applyAlignment="1" applyProtection="1">
      <alignment horizontal="center" vertical="center" wrapText="1"/>
    </xf>
    <xf numFmtId="1" fontId="11" fillId="6" borderId="126" xfId="0" applyNumberFormat="1" applyFont="1" applyFill="1" applyBorder="1" applyAlignment="1" applyProtection="1">
      <alignment horizontal="center" vertical="center" wrapText="1"/>
    </xf>
    <xf numFmtId="1" fontId="11" fillId="6" borderId="106" xfId="0" applyNumberFormat="1" applyFont="1" applyFill="1" applyBorder="1" applyAlignment="1" applyProtection="1">
      <alignment horizontal="center" vertical="center" wrapText="1"/>
    </xf>
    <xf numFmtId="1" fontId="11" fillId="6" borderId="70" xfId="0" applyNumberFormat="1" applyFont="1" applyFill="1" applyBorder="1" applyAlignment="1" applyProtection="1">
      <alignment horizontal="center" vertical="center" wrapText="1"/>
    </xf>
    <xf numFmtId="3" fontId="4" fillId="6" borderId="53" xfId="0" applyNumberFormat="1" applyFont="1" applyFill="1" applyBorder="1" applyAlignment="1" applyProtection="1">
      <alignment horizontal="center" vertical="center" wrapText="1"/>
    </xf>
    <xf numFmtId="3" fontId="4" fillId="6" borderId="3" xfId="0" applyNumberFormat="1" applyFont="1" applyFill="1" applyBorder="1" applyAlignment="1" applyProtection="1">
      <alignment horizontal="center" vertical="center" wrapText="1"/>
    </xf>
    <xf numFmtId="3" fontId="4" fillId="6" borderId="56" xfId="0" applyNumberFormat="1" applyFont="1" applyFill="1" applyBorder="1" applyAlignment="1" applyProtection="1">
      <alignment horizontal="center" vertical="center" wrapText="1"/>
    </xf>
    <xf numFmtId="3" fontId="4" fillId="6" borderId="40" xfId="0" applyNumberFormat="1" applyFont="1" applyFill="1" applyBorder="1" applyAlignment="1" applyProtection="1">
      <alignment horizontal="center" vertical="center" wrapText="1"/>
    </xf>
    <xf numFmtId="3" fontId="4" fillId="6" borderId="41" xfId="0" applyNumberFormat="1" applyFont="1" applyFill="1" applyBorder="1" applyAlignment="1" applyProtection="1">
      <alignment horizontal="center" vertical="center" wrapText="1"/>
    </xf>
    <xf numFmtId="3" fontId="4" fillId="6" borderId="62" xfId="0" applyNumberFormat="1" applyFont="1" applyFill="1" applyBorder="1" applyAlignment="1" applyProtection="1">
      <alignment horizontal="center" vertical="center" wrapText="1"/>
    </xf>
    <xf numFmtId="3" fontId="4" fillId="6" borderId="52" xfId="0" applyNumberFormat="1" applyFont="1" applyFill="1" applyBorder="1" applyAlignment="1" applyProtection="1">
      <alignment horizontal="center" vertical="center" wrapText="1"/>
    </xf>
    <xf numFmtId="3" fontId="4" fillId="6" borderId="63" xfId="0" applyNumberFormat="1" applyFont="1" applyFill="1" applyBorder="1" applyAlignment="1" applyProtection="1">
      <alignment horizontal="center" vertical="center" wrapText="1"/>
    </xf>
    <xf numFmtId="3" fontId="4" fillId="6" borderId="32" xfId="0" applyNumberFormat="1" applyFont="1" applyFill="1" applyBorder="1" applyAlignment="1" applyProtection="1">
      <alignment horizontal="center" vertical="center" wrapText="1"/>
    </xf>
    <xf numFmtId="3" fontId="4" fillId="6" borderId="2" xfId="0" applyNumberFormat="1" applyFont="1" applyFill="1" applyBorder="1" applyAlignment="1" applyProtection="1">
      <alignment horizontal="center" vertical="center" wrapText="1"/>
    </xf>
    <xf numFmtId="3" fontId="4" fillId="6" borderId="47" xfId="0" applyNumberFormat="1" applyFont="1" applyFill="1" applyBorder="1" applyAlignment="1" applyProtection="1">
      <alignment horizontal="center" vertical="center" wrapText="1"/>
    </xf>
  </cellXfs>
  <cellStyles count="6">
    <cellStyle name="Hyperlink" xfId="3" builtinId="8"/>
    <cellStyle name="Neutral" xfId="5" builtinId="28"/>
    <cellStyle name="Normal" xfId="0" builtinId="0"/>
    <cellStyle name="Normal 2" xfId="4"/>
    <cellStyle name="Normal 2 2" xfId="2"/>
    <cellStyle name="Percent" xfId="1" builtinId="5"/>
  </cellStyles>
  <dxfs count="408"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numFmt numFmtId="2" formatCode="0.00"/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  <color rgb="FFFF9999"/>
      <color rgb="FFFF33CC"/>
      <color rgb="FFFF0066"/>
      <color rgb="FFDE2622"/>
      <color rgb="FFFFFF99"/>
      <color rgb="FFFF7C80"/>
      <color rgb="FFF5DBF9"/>
      <color rgb="FFFF00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0</xdr:colOff>
      <xdr:row>33</xdr:row>
      <xdr:rowOff>179292</xdr:rowOff>
    </xdr:to>
    <xdr:pic>
      <xdr:nvPicPr>
        <xdr:cNvPr id="12" name="Background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533029" cy="6095998"/>
        </a:xfrm>
        <a:prstGeom prst="rect">
          <a:avLst/>
        </a:prstGeom>
      </xdr:spPr>
    </xdr:pic>
    <xdr:clientData/>
  </xdr:twoCellAnchor>
  <xdr:twoCellAnchor>
    <xdr:from>
      <xdr:col>0</xdr:col>
      <xdr:colOff>260350</xdr:colOff>
      <xdr:row>4</xdr:row>
      <xdr:rowOff>112059</xdr:rowOff>
    </xdr:from>
    <xdr:to>
      <xdr:col>3</xdr:col>
      <xdr:colOff>0</xdr:colOff>
      <xdr:row>7</xdr:row>
      <xdr:rowOff>112059</xdr:rowOff>
    </xdr:to>
    <xdr:sp macro="[0]!TOGGLE_SORT0_SHEE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0350" y="859118"/>
          <a:ext cx="1577415" cy="560294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Sort</a:t>
          </a:r>
          <a:r>
            <a:rPr lang="en-US" sz="1600" b="1" baseline="0">
              <a:solidFill>
                <a:schemeClr val="tx1"/>
              </a:solidFill>
            </a:rPr>
            <a:t> 0</a:t>
          </a:r>
        </a:p>
        <a:p>
          <a:pPr algn="ctr"/>
          <a:endParaRPr lang="en-US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260350</xdr:colOff>
      <xdr:row>9</xdr:row>
      <xdr:rowOff>37353</xdr:rowOff>
    </xdr:from>
    <xdr:to>
      <xdr:col>3</xdr:col>
      <xdr:colOff>0</xdr:colOff>
      <xdr:row>12</xdr:row>
      <xdr:rowOff>37353</xdr:rowOff>
    </xdr:to>
    <xdr:sp macro="[0]!TOGGLE_SORT1_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0350" y="1718235"/>
          <a:ext cx="1577415" cy="560294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Sort</a:t>
          </a:r>
          <a:r>
            <a:rPr lang="en-US" sz="1600" b="1" baseline="0">
              <a:solidFill>
                <a:schemeClr val="tx1"/>
              </a:solidFill>
            </a:rPr>
            <a:t> 1</a:t>
          </a:r>
          <a:endParaRPr lang="en-US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260350</xdr:colOff>
      <xdr:row>18</xdr:row>
      <xdr:rowOff>89647</xdr:rowOff>
    </xdr:from>
    <xdr:to>
      <xdr:col>3</xdr:col>
      <xdr:colOff>0</xdr:colOff>
      <xdr:row>21</xdr:row>
      <xdr:rowOff>89648</xdr:rowOff>
    </xdr:to>
    <xdr:sp macro="[0]!TOGGLE_MCO_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0350" y="3451412"/>
          <a:ext cx="1577415" cy="560295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MCO</a:t>
          </a:r>
        </a:p>
      </xdr:txBody>
    </xdr:sp>
    <xdr:clientData/>
  </xdr:twoCellAnchor>
  <xdr:twoCellAnchor>
    <xdr:from>
      <xdr:col>0</xdr:col>
      <xdr:colOff>260350</xdr:colOff>
      <xdr:row>14</xdr:row>
      <xdr:rowOff>0</xdr:rowOff>
    </xdr:from>
    <xdr:to>
      <xdr:col>3</xdr:col>
      <xdr:colOff>0</xdr:colOff>
      <xdr:row>17</xdr:row>
      <xdr:rowOff>0</xdr:rowOff>
    </xdr:to>
    <xdr:sp macro="[0]!TOGGLE_PICKSTAGE_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0350" y="2614706"/>
          <a:ext cx="1577415" cy="560294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Pick &amp;</a:t>
          </a:r>
          <a:r>
            <a:rPr lang="en-US" sz="1600" b="1" baseline="0">
              <a:solidFill>
                <a:schemeClr val="tx1"/>
              </a:solidFill>
            </a:rPr>
            <a:t> Stage</a:t>
          </a:r>
          <a:endParaRPr lang="en-US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9</xdr:col>
      <xdr:colOff>352239</xdr:colOff>
      <xdr:row>15</xdr:row>
      <xdr:rowOff>0</xdr:rowOff>
    </xdr:to>
    <xdr:sp macro="[0]!TOGGLE_24HOUR_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288118" y="2241176"/>
          <a:ext cx="1577415" cy="560295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24 Hour</a:t>
          </a:r>
        </a:p>
      </xdr:txBody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304800</xdr:colOff>
      <xdr:row>18</xdr:row>
      <xdr:rowOff>120650</xdr:rowOff>
    </xdr:to>
    <xdr:sp macro="" textlink="">
      <xdr:nvSpPr>
        <xdr:cNvPr id="1027" name="AutoShape 3" descr="Gray and white color geometric modern design background design, Vector  Illustration for your business - Download Free Vectors, Clipart Graphics &amp;  Vector Art"/>
        <xdr:cNvSpPr>
          <a:spLocks noChangeAspect="1" noChangeArrowheads="1"/>
        </xdr:cNvSpPr>
      </xdr:nvSpPr>
      <xdr:spPr bwMode="auto">
        <a:xfrm>
          <a:off x="3048000" y="313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14</xdr:col>
      <xdr:colOff>926159</xdr:colOff>
      <xdr:row>4</xdr:row>
      <xdr:rowOff>441446</xdr:rowOff>
    </xdr:to>
    <xdr:sp macro="[0]!GO_TO_WELCOME_SHEET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15058571" y="1462768"/>
          <a:ext cx="2014731" cy="929035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Return</a:t>
          </a:r>
        </a:p>
      </xdr:txBody>
    </xdr:sp>
    <xdr:clientData/>
  </xdr:twoCellAnchor>
  <xdr:twoCellAnchor>
    <xdr:from>
      <xdr:col>15</xdr:col>
      <xdr:colOff>161637</xdr:colOff>
      <xdr:row>3</xdr:row>
      <xdr:rowOff>0</xdr:rowOff>
    </xdr:from>
    <xdr:to>
      <xdr:col>17</xdr:col>
      <xdr:colOff>0</xdr:colOff>
      <xdr:row>4</xdr:row>
      <xdr:rowOff>441408</xdr:rowOff>
    </xdr:to>
    <xdr:sp macro="[0]!clear24Hours" textlink="">
      <xdr:nvSpPr>
        <xdr:cNvPr id="52" name="Rectangle 51"/>
        <xdr:cNvSpPr/>
      </xdr:nvSpPr>
      <xdr:spPr>
        <a:xfrm>
          <a:off x="17397351" y="1462768"/>
          <a:ext cx="2015506" cy="928997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Clear All</a:t>
          </a:r>
          <a:r>
            <a:rPr lang="en-US" sz="2400" b="1" baseline="0"/>
            <a:t> Data</a:t>
          </a:r>
          <a:endParaRPr lang="en-US" sz="2400" b="1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6</xdr:col>
      <xdr:colOff>0</xdr:colOff>
      <xdr:row>12</xdr:row>
      <xdr:rowOff>0</xdr:rowOff>
    </xdr:to>
    <xdr:sp macro="[0]!runPickStage" textlink="">
      <xdr:nvSpPr>
        <xdr:cNvPr id="4" name="Rectangle 3"/>
        <xdr:cNvSpPr/>
      </xdr:nvSpPr>
      <xdr:spPr>
        <a:xfrm>
          <a:off x="4172857" y="3980089"/>
          <a:ext cx="3265714" cy="4762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Pick and Stage</a:t>
          </a:r>
        </a:p>
      </xdr:txBody>
    </xdr:sp>
    <xdr:clientData/>
  </xdr:twoCellAnchor>
  <xdr:twoCellAnchor>
    <xdr:from>
      <xdr:col>15</xdr:col>
      <xdr:colOff>0</xdr:colOff>
      <xdr:row>11</xdr:row>
      <xdr:rowOff>0</xdr:rowOff>
    </xdr:from>
    <xdr:to>
      <xdr:col>18</xdr:col>
      <xdr:colOff>0</xdr:colOff>
      <xdr:row>12</xdr:row>
      <xdr:rowOff>0</xdr:rowOff>
    </xdr:to>
    <xdr:sp macro="[0]!cycle1" textlink="">
      <xdr:nvSpPr>
        <xdr:cNvPr id="50" name="Rectangle 49"/>
        <xdr:cNvSpPr/>
      </xdr:nvSpPr>
      <xdr:spPr>
        <a:xfrm>
          <a:off x="17235714" y="3980089"/>
          <a:ext cx="3265715" cy="4762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Cycle 1</a:t>
          </a:r>
        </a:p>
      </xdr:txBody>
    </xdr:sp>
    <xdr:clientData/>
  </xdr:twoCellAnchor>
  <xdr:twoCellAnchor>
    <xdr:from>
      <xdr:col>11</xdr:col>
      <xdr:colOff>1088570</xdr:colOff>
      <xdr:row>11</xdr:row>
      <xdr:rowOff>0</xdr:rowOff>
    </xdr:from>
    <xdr:to>
      <xdr:col>15</xdr:col>
      <xdr:colOff>0</xdr:colOff>
      <xdr:row>12</xdr:row>
      <xdr:rowOff>0</xdr:rowOff>
    </xdr:to>
    <xdr:sp macro="[0]!cycle0" textlink="">
      <xdr:nvSpPr>
        <xdr:cNvPr id="51" name="Rectangle 50"/>
        <xdr:cNvSpPr/>
      </xdr:nvSpPr>
      <xdr:spPr>
        <a:xfrm>
          <a:off x="13969999" y="3980089"/>
          <a:ext cx="3265715" cy="4762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Cycle 0</a:t>
          </a: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[0]!pfsd" textlink="">
      <xdr:nvSpPr>
        <xdr:cNvPr id="53" name="Rectangle 52"/>
        <xdr:cNvSpPr/>
      </xdr:nvSpPr>
      <xdr:spPr>
        <a:xfrm>
          <a:off x="10704286" y="3980089"/>
          <a:ext cx="3265714" cy="4762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PFSD</a:t>
          </a:r>
        </a:p>
      </xdr:txBody>
    </xdr:sp>
    <xdr:clientData/>
  </xdr:twoCellAnchor>
  <xdr:twoCellAnchor>
    <xdr:from>
      <xdr:col>5</xdr:col>
      <xdr:colOff>1088570</xdr:colOff>
      <xdr:row>11</xdr:row>
      <xdr:rowOff>0</xdr:rowOff>
    </xdr:from>
    <xdr:to>
      <xdr:col>9</xdr:col>
      <xdr:colOff>0</xdr:colOff>
      <xdr:row>12</xdr:row>
      <xdr:rowOff>0</xdr:rowOff>
    </xdr:to>
    <xdr:sp macro="[0]!sortB" textlink="">
      <xdr:nvSpPr>
        <xdr:cNvPr id="54" name="Rectangle 53"/>
        <xdr:cNvSpPr/>
      </xdr:nvSpPr>
      <xdr:spPr>
        <a:xfrm>
          <a:off x="7438570" y="3980089"/>
          <a:ext cx="3265716" cy="4762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Sort B</a:t>
          </a:r>
          <a:r>
            <a:rPr lang="en-US" sz="2400" b="1" baseline="0">
              <a:solidFill>
                <a:schemeClr val="tx1"/>
              </a:solidFill>
            </a:rPr>
            <a:t> - MCO</a:t>
          </a:r>
          <a:endParaRPr lang="en-US" sz="2400" b="1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385535</xdr:colOff>
      <xdr:row>5</xdr:row>
      <xdr:rowOff>464911</xdr:rowOff>
    </xdr:from>
    <xdr:to>
      <xdr:col>21</xdr:col>
      <xdr:colOff>442232</xdr:colOff>
      <xdr:row>7</xdr:row>
      <xdr:rowOff>238125</xdr:rowOff>
    </xdr:to>
    <xdr:sp macro="[0]!clearPickStageData" textlink="">
      <xdr:nvSpPr>
        <xdr:cNvPr id="3" name="Rectangle 2"/>
        <xdr:cNvSpPr/>
      </xdr:nvSpPr>
      <xdr:spPr>
        <a:xfrm>
          <a:off x="20886964" y="2902857"/>
          <a:ext cx="1349375" cy="589643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Pick and Stage Data</a:t>
          </a:r>
        </a:p>
      </xdr:txBody>
    </xdr:sp>
    <xdr:clientData/>
  </xdr:twoCellAnchor>
  <xdr:twoCellAnchor>
    <xdr:from>
      <xdr:col>19</xdr:col>
      <xdr:colOff>385535</xdr:colOff>
      <xdr:row>17</xdr:row>
      <xdr:rowOff>260803</xdr:rowOff>
    </xdr:from>
    <xdr:to>
      <xdr:col>21</xdr:col>
      <xdr:colOff>442232</xdr:colOff>
      <xdr:row>19</xdr:row>
      <xdr:rowOff>215446</xdr:rowOff>
    </xdr:to>
    <xdr:sp macro="[0]!clearCycle1Data" textlink="">
      <xdr:nvSpPr>
        <xdr:cNvPr id="11" name="Rectangle 10"/>
        <xdr:cNvSpPr/>
      </xdr:nvSpPr>
      <xdr:spPr>
        <a:xfrm>
          <a:off x="20886964" y="6769553"/>
          <a:ext cx="1349375" cy="589643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Cycle 1 Data</a:t>
          </a:r>
        </a:p>
      </xdr:txBody>
    </xdr:sp>
    <xdr:clientData/>
  </xdr:twoCellAnchor>
  <xdr:twoCellAnchor>
    <xdr:from>
      <xdr:col>19</xdr:col>
      <xdr:colOff>385535</xdr:colOff>
      <xdr:row>14</xdr:row>
      <xdr:rowOff>260803</xdr:rowOff>
    </xdr:from>
    <xdr:to>
      <xdr:col>21</xdr:col>
      <xdr:colOff>442232</xdr:colOff>
      <xdr:row>16</xdr:row>
      <xdr:rowOff>215446</xdr:rowOff>
    </xdr:to>
    <xdr:sp macro="[0]!clearCycle0Data" textlink="">
      <xdr:nvSpPr>
        <xdr:cNvPr id="12" name="Rectangle 11"/>
        <xdr:cNvSpPr/>
      </xdr:nvSpPr>
      <xdr:spPr>
        <a:xfrm>
          <a:off x="20886964" y="5817053"/>
          <a:ext cx="1349375" cy="589643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Cycle 0 Data</a:t>
          </a:r>
        </a:p>
      </xdr:txBody>
    </xdr:sp>
    <xdr:clientData/>
  </xdr:twoCellAnchor>
  <xdr:twoCellAnchor>
    <xdr:from>
      <xdr:col>19</xdr:col>
      <xdr:colOff>385535</xdr:colOff>
      <xdr:row>11</xdr:row>
      <xdr:rowOff>464910</xdr:rowOff>
    </xdr:from>
    <xdr:to>
      <xdr:col>21</xdr:col>
      <xdr:colOff>442232</xdr:colOff>
      <xdr:row>13</xdr:row>
      <xdr:rowOff>215446</xdr:rowOff>
    </xdr:to>
    <xdr:sp macro="[0]!clearPFSDdata" textlink="">
      <xdr:nvSpPr>
        <xdr:cNvPr id="13" name="Rectangle 12"/>
        <xdr:cNvSpPr/>
      </xdr:nvSpPr>
      <xdr:spPr>
        <a:xfrm>
          <a:off x="20886964" y="4864553"/>
          <a:ext cx="1349375" cy="589643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PFSD Data</a:t>
          </a:r>
        </a:p>
      </xdr:txBody>
    </xdr:sp>
    <xdr:clientData/>
  </xdr:twoCellAnchor>
  <xdr:twoCellAnchor>
    <xdr:from>
      <xdr:col>19</xdr:col>
      <xdr:colOff>385535</xdr:colOff>
      <xdr:row>8</xdr:row>
      <xdr:rowOff>272142</xdr:rowOff>
    </xdr:from>
    <xdr:to>
      <xdr:col>21</xdr:col>
      <xdr:colOff>442232</xdr:colOff>
      <xdr:row>11</xdr:row>
      <xdr:rowOff>56696</xdr:rowOff>
    </xdr:to>
    <xdr:sp macro="[0]!clearMCOdata" textlink="">
      <xdr:nvSpPr>
        <xdr:cNvPr id="14" name="Rectangle 13"/>
        <xdr:cNvSpPr/>
      </xdr:nvSpPr>
      <xdr:spPr>
        <a:xfrm>
          <a:off x="20886964" y="3866696"/>
          <a:ext cx="1349375" cy="589643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MCO</a:t>
          </a:r>
          <a:r>
            <a:rPr lang="en-US" sz="1400" b="1" baseline="0"/>
            <a:t>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89647</xdr:rowOff>
    </xdr:from>
    <xdr:to>
      <xdr:col>12</xdr:col>
      <xdr:colOff>0</xdr:colOff>
      <xdr:row>6</xdr:row>
      <xdr:rowOff>37353</xdr:rowOff>
    </xdr:to>
    <xdr:sp macro="[0]!GO_TO_WELCOME_SHEET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12774706" y="1277471"/>
          <a:ext cx="1299882" cy="45570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Return </a:t>
          </a:r>
        </a:p>
      </xdr:txBody>
    </xdr:sp>
    <xdr:clientData/>
  </xdr:twoCellAnchor>
  <xdr:twoCellAnchor>
    <xdr:from>
      <xdr:col>10</xdr:col>
      <xdr:colOff>0</xdr:colOff>
      <xdr:row>8</xdr:row>
      <xdr:rowOff>97118</xdr:rowOff>
    </xdr:from>
    <xdr:to>
      <xdr:col>12</xdr:col>
      <xdr:colOff>0</xdr:colOff>
      <xdr:row>9</xdr:row>
      <xdr:rowOff>379399</xdr:rowOff>
    </xdr:to>
    <xdr:sp macro="[0]!SelectSPT" textlink="">
      <xdr:nvSpPr>
        <xdr:cNvPr id="10" name="Rectangle: Rounded Corners 20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2774706" y="2166471"/>
          <a:ext cx="1299882" cy="46904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Upload SPT</a:t>
          </a:r>
        </a:p>
      </xdr:txBody>
    </xdr:sp>
    <xdr:clientData/>
  </xdr:twoCellAnchor>
  <xdr:twoCellAnchor>
    <xdr:from>
      <xdr:col>10</xdr:col>
      <xdr:colOff>0</xdr:colOff>
      <xdr:row>11</xdr:row>
      <xdr:rowOff>108857</xdr:rowOff>
    </xdr:from>
    <xdr:to>
      <xdr:col>12</xdr:col>
      <xdr:colOff>0</xdr:colOff>
      <xdr:row>14</xdr:row>
      <xdr:rowOff>0</xdr:rowOff>
    </xdr:to>
    <xdr:sp macro="[0]!Sheet54.runAll_sort0" textlink="">
      <xdr:nvSpPr>
        <xdr:cNvPr id="2" name="Rectangle 1"/>
        <xdr:cNvSpPr/>
      </xdr:nvSpPr>
      <xdr:spPr>
        <a:xfrm>
          <a:off x="12772571" y="3011714"/>
          <a:ext cx="1288143" cy="462643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Run All</a:t>
          </a:r>
        </a:p>
      </xdr:txBody>
    </xdr:sp>
    <xdr:clientData/>
  </xdr:twoCellAnchor>
  <xdr:twoCellAnchor>
    <xdr:from>
      <xdr:col>10</xdr:col>
      <xdr:colOff>0</xdr:colOff>
      <xdr:row>15</xdr:row>
      <xdr:rowOff>181428</xdr:rowOff>
    </xdr:from>
    <xdr:to>
      <xdr:col>12</xdr:col>
      <xdr:colOff>0</xdr:colOff>
      <xdr:row>18</xdr:row>
      <xdr:rowOff>76840</xdr:rowOff>
    </xdr:to>
    <xdr:sp macro="[0]!clearAll_PPA" textlink="">
      <xdr:nvSpPr>
        <xdr:cNvPr id="3" name="Rectangle 2"/>
        <xdr:cNvSpPr/>
      </xdr:nvSpPr>
      <xdr:spPr>
        <a:xfrm>
          <a:off x="12772571" y="3846285"/>
          <a:ext cx="1288143" cy="466912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Clear</a:t>
          </a:r>
          <a:r>
            <a:rPr lang="en-US" sz="1600" b="1" baseline="0"/>
            <a:t> Data</a:t>
          </a:r>
          <a:endParaRPr lang="en-US" sz="1600" b="1"/>
        </a:p>
      </xdr:txBody>
    </xdr:sp>
    <xdr:clientData/>
  </xdr:twoCellAnchor>
  <xdr:twoCellAnchor>
    <xdr:from>
      <xdr:col>4</xdr:col>
      <xdr:colOff>434931</xdr:colOff>
      <xdr:row>9</xdr:row>
      <xdr:rowOff>18392</xdr:rowOff>
    </xdr:from>
    <xdr:to>
      <xdr:col>4</xdr:col>
      <xdr:colOff>1125975</xdr:colOff>
      <xdr:row>9</xdr:row>
      <xdr:rowOff>417535</xdr:rowOff>
    </xdr:to>
    <xdr:sp macro="[0]!fivePM" textlink="">
      <xdr:nvSpPr>
        <xdr:cNvPr id="4" name="Rectangle 3"/>
        <xdr:cNvSpPr/>
      </xdr:nvSpPr>
      <xdr:spPr>
        <a:xfrm>
          <a:off x="5349657" y="2253940"/>
          <a:ext cx="691044" cy="399143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17:00</a:t>
          </a:r>
        </a:p>
      </xdr:txBody>
    </xdr:sp>
    <xdr:clientData/>
  </xdr:twoCellAnchor>
  <xdr:twoCellAnchor>
    <xdr:from>
      <xdr:col>3</xdr:col>
      <xdr:colOff>417535</xdr:colOff>
      <xdr:row>9</xdr:row>
      <xdr:rowOff>18391</xdr:rowOff>
    </xdr:from>
    <xdr:to>
      <xdr:col>3</xdr:col>
      <xdr:colOff>1108578</xdr:colOff>
      <xdr:row>9</xdr:row>
      <xdr:rowOff>417534</xdr:rowOff>
    </xdr:to>
    <xdr:sp macro="[0]!FourPM" textlink="">
      <xdr:nvSpPr>
        <xdr:cNvPr id="14" name="Rectangle 13"/>
        <xdr:cNvSpPr/>
      </xdr:nvSpPr>
      <xdr:spPr>
        <a:xfrm>
          <a:off x="3888288" y="2253939"/>
          <a:ext cx="691043" cy="399143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16:00</a:t>
          </a:r>
        </a:p>
      </xdr:txBody>
    </xdr:sp>
    <xdr:clientData/>
  </xdr:twoCellAnchor>
  <xdr:twoCellAnchor>
    <xdr:from>
      <xdr:col>7</xdr:col>
      <xdr:colOff>434931</xdr:colOff>
      <xdr:row>9</xdr:row>
      <xdr:rowOff>27090</xdr:rowOff>
    </xdr:from>
    <xdr:to>
      <xdr:col>7</xdr:col>
      <xdr:colOff>1125975</xdr:colOff>
      <xdr:row>9</xdr:row>
      <xdr:rowOff>426233</xdr:rowOff>
    </xdr:to>
    <xdr:sp macro="[0]!eightPM" textlink="">
      <xdr:nvSpPr>
        <xdr:cNvPr id="15" name="Rectangle 14"/>
        <xdr:cNvSpPr/>
      </xdr:nvSpPr>
      <xdr:spPr>
        <a:xfrm>
          <a:off x="9681575" y="2262638"/>
          <a:ext cx="691044" cy="399143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20:00</a:t>
          </a:r>
        </a:p>
      </xdr:txBody>
    </xdr:sp>
    <xdr:clientData/>
  </xdr:twoCellAnchor>
  <xdr:twoCellAnchor>
    <xdr:from>
      <xdr:col>6</xdr:col>
      <xdr:colOff>434933</xdr:colOff>
      <xdr:row>9</xdr:row>
      <xdr:rowOff>27090</xdr:rowOff>
    </xdr:from>
    <xdr:to>
      <xdr:col>6</xdr:col>
      <xdr:colOff>1125975</xdr:colOff>
      <xdr:row>9</xdr:row>
      <xdr:rowOff>426233</xdr:rowOff>
    </xdr:to>
    <xdr:sp macro="[0]!sevenPM" textlink="">
      <xdr:nvSpPr>
        <xdr:cNvPr id="16" name="Rectangle 15"/>
        <xdr:cNvSpPr/>
      </xdr:nvSpPr>
      <xdr:spPr>
        <a:xfrm>
          <a:off x="8237604" y="2262638"/>
          <a:ext cx="691042" cy="399143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19:00</a:t>
          </a:r>
        </a:p>
      </xdr:txBody>
    </xdr:sp>
    <xdr:clientData/>
  </xdr:twoCellAnchor>
  <xdr:twoCellAnchor>
    <xdr:from>
      <xdr:col>5</xdr:col>
      <xdr:colOff>434931</xdr:colOff>
      <xdr:row>9</xdr:row>
      <xdr:rowOff>27090</xdr:rowOff>
    </xdr:from>
    <xdr:to>
      <xdr:col>5</xdr:col>
      <xdr:colOff>1125975</xdr:colOff>
      <xdr:row>9</xdr:row>
      <xdr:rowOff>426233</xdr:rowOff>
    </xdr:to>
    <xdr:sp macro="[0]!sixPM" textlink="">
      <xdr:nvSpPr>
        <xdr:cNvPr id="17" name="Rectangle 16"/>
        <xdr:cNvSpPr/>
      </xdr:nvSpPr>
      <xdr:spPr>
        <a:xfrm>
          <a:off x="6793630" y="2262638"/>
          <a:ext cx="691044" cy="399143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18:00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58164</xdr:rowOff>
    </xdr:from>
    <xdr:to>
      <xdr:col>16</xdr:col>
      <xdr:colOff>0</xdr:colOff>
      <xdr:row>9</xdr:row>
      <xdr:rowOff>157950</xdr:rowOff>
    </xdr:to>
    <xdr:sp macro="[0]!SelectSPT" textlink="">
      <xdr:nvSpPr>
        <xdr:cNvPr id="23" name="Rectangle: Rounded Corners 20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7854706" y="2067752"/>
          <a:ext cx="1284941" cy="47331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Upload SPT</a:t>
          </a:r>
        </a:p>
      </xdr:txBody>
    </xdr:sp>
    <xdr:clientData/>
  </xdr:twoCellAnchor>
  <xdr:twoCellAnchor>
    <xdr:from>
      <xdr:col>13</xdr:col>
      <xdr:colOff>0</xdr:colOff>
      <xdr:row>10</xdr:row>
      <xdr:rowOff>58164</xdr:rowOff>
    </xdr:from>
    <xdr:to>
      <xdr:col>16</xdr:col>
      <xdr:colOff>0</xdr:colOff>
      <xdr:row>12</xdr:row>
      <xdr:rowOff>125399</xdr:rowOff>
    </xdr:to>
    <xdr:sp macro="[0]!Sheet55.runALL_sort1" textlink="">
      <xdr:nvSpPr>
        <xdr:cNvPr id="15" name="Rectangle 14"/>
        <xdr:cNvSpPr/>
      </xdr:nvSpPr>
      <xdr:spPr>
        <a:xfrm>
          <a:off x="17854706" y="2919399"/>
          <a:ext cx="1284941" cy="45570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Run All</a:t>
          </a:r>
        </a:p>
      </xdr:txBody>
    </xdr:sp>
    <xdr:clientData/>
  </xdr:twoCellAnchor>
  <xdr:twoCellAnchor>
    <xdr:from>
      <xdr:col>12</xdr:col>
      <xdr:colOff>1434352</xdr:colOff>
      <xdr:row>14</xdr:row>
      <xdr:rowOff>35752</xdr:rowOff>
    </xdr:from>
    <xdr:to>
      <xdr:col>16</xdr:col>
      <xdr:colOff>0</xdr:colOff>
      <xdr:row>16</xdr:row>
      <xdr:rowOff>125399</xdr:rowOff>
    </xdr:to>
    <xdr:sp macro="[0]!clearAll_PPA" textlink="">
      <xdr:nvSpPr>
        <xdr:cNvPr id="16" name="Rectangle 15"/>
        <xdr:cNvSpPr/>
      </xdr:nvSpPr>
      <xdr:spPr>
        <a:xfrm>
          <a:off x="17854705" y="3673928"/>
          <a:ext cx="1284942" cy="478118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Clear</a:t>
          </a:r>
          <a:r>
            <a:rPr lang="en-US" sz="1600" b="1" baseline="0"/>
            <a:t> Data</a:t>
          </a:r>
          <a:endParaRPr lang="en-US" sz="1600" b="1"/>
        </a:p>
      </xdr:txBody>
    </xdr:sp>
    <xdr:clientData/>
  </xdr:twoCellAnchor>
  <xdr:twoCellAnchor>
    <xdr:from>
      <xdr:col>12</xdr:col>
      <xdr:colOff>1434352</xdr:colOff>
      <xdr:row>3</xdr:row>
      <xdr:rowOff>224119</xdr:rowOff>
    </xdr:from>
    <xdr:to>
      <xdr:col>16</xdr:col>
      <xdr:colOff>0</xdr:colOff>
      <xdr:row>5</xdr:row>
      <xdr:rowOff>127001</xdr:rowOff>
    </xdr:to>
    <xdr:sp macro="[0]!GO_TO_WELCOME_SHEET" textlink="">
      <xdr:nvSpPr>
        <xdr:cNvPr id="17" name="Rectangle: Rounded Corners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17854705" y="1307354"/>
          <a:ext cx="1284942" cy="45570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Return </a:t>
          </a:r>
        </a:p>
      </xdr:txBody>
    </xdr:sp>
    <xdr:clientData/>
  </xdr:twoCellAnchor>
  <xdr:twoCellAnchor>
    <xdr:from>
      <xdr:col>3</xdr:col>
      <xdr:colOff>463177</xdr:colOff>
      <xdr:row>9</xdr:row>
      <xdr:rowOff>1</xdr:rowOff>
    </xdr:from>
    <xdr:to>
      <xdr:col>3</xdr:col>
      <xdr:colOff>1068295</xdr:colOff>
      <xdr:row>9</xdr:row>
      <xdr:rowOff>353787</xdr:rowOff>
    </xdr:to>
    <xdr:sp macro="[0]!eightPM" textlink="">
      <xdr:nvSpPr>
        <xdr:cNvPr id="2" name="Rectangle 1"/>
        <xdr:cNvSpPr/>
      </xdr:nvSpPr>
      <xdr:spPr>
        <a:xfrm>
          <a:off x="3973820" y="2358572"/>
          <a:ext cx="605118" cy="35378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ysClr val="windowText" lastClr="000000"/>
              </a:solidFill>
            </a:rPr>
            <a:t>20:00</a:t>
          </a:r>
        </a:p>
      </xdr:txBody>
    </xdr:sp>
    <xdr:clientData/>
  </xdr:twoCellAnchor>
  <xdr:twoCellAnchor>
    <xdr:from>
      <xdr:col>4</xdr:col>
      <xdr:colOff>463176</xdr:colOff>
      <xdr:row>9</xdr:row>
      <xdr:rowOff>0</xdr:rowOff>
    </xdr:from>
    <xdr:to>
      <xdr:col>4</xdr:col>
      <xdr:colOff>1068294</xdr:colOff>
      <xdr:row>9</xdr:row>
      <xdr:rowOff>353786</xdr:rowOff>
    </xdr:to>
    <xdr:sp macro="[0]!ninePM" textlink="">
      <xdr:nvSpPr>
        <xdr:cNvPr id="19" name="Rectangle 18"/>
        <xdr:cNvSpPr/>
      </xdr:nvSpPr>
      <xdr:spPr>
        <a:xfrm>
          <a:off x="5407105" y="2358571"/>
          <a:ext cx="605118" cy="35378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ysClr val="windowText" lastClr="000000"/>
              </a:solidFill>
            </a:rPr>
            <a:t>21:00</a:t>
          </a:r>
        </a:p>
      </xdr:txBody>
    </xdr:sp>
    <xdr:clientData/>
  </xdr:twoCellAnchor>
  <xdr:twoCellAnchor>
    <xdr:from>
      <xdr:col>5</xdr:col>
      <xdr:colOff>463177</xdr:colOff>
      <xdr:row>9</xdr:row>
      <xdr:rowOff>0</xdr:rowOff>
    </xdr:from>
    <xdr:to>
      <xdr:col>5</xdr:col>
      <xdr:colOff>1068295</xdr:colOff>
      <xdr:row>9</xdr:row>
      <xdr:rowOff>353786</xdr:rowOff>
    </xdr:to>
    <xdr:sp macro="[0]!TenPM" textlink="">
      <xdr:nvSpPr>
        <xdr:cNvPr id="20" name="Rectangle 19"/>
        <xdr:cNvSpPr/>
      </xdr:nvSpPr>
      <xdr:spPr>
        <a:xfrm>
          <a:off x="6840391" y="2358571"/>
          <a:ext cx="605118" cy="35378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ysClr val="windowText" lastClr="000000"/>
              </a:solidFill>
            </a:rPr>
            <a:t>22:00</a:t>
          </a:r>
        </a:p>
      </xdr:txBody>
    </xdr:sp>
    <xdr:clientData/>
  </xdr:twoCellAnchor>
  <xdr:twoCellAnchor>
    <xdr:from>
      <xdr:col>6</xdr:col>
      <xdr:colOff>463176</xdr:colOff>
      <xdr:row>9</xdr:row>
      <xdr:rowOff>0</xdr:rowOff>
    </xdr:from>
    <xdr:to>
      <xdr:col>6</xdr:col>
      <xdr:colOff>1068294</xdr:colOff>
      <xdr:row>9</xdr:row>
      <xdr:rowOff>353786</xdr:rowOff>
    </xdr:to>
    <xdr:sp macro="[0]!ElevenPM" textlink="">
      <xdr:nvSpPr>
        <xdr:cNvPr id="22" name="Rectangle 21"/>
        <xdr:cNvSpPr/>
      </xdr:nvSpPr>
      <xdr:spPr>
        <a:xfrm>
          <a:off x="8273676" y="2358571"/>
          <a:ext cx="605118" cy="35378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ysClr val="windowText" lastClr="000000"/>
              </a:solidFill>
            </a:rPr>
            <a:t>23:00</a:t>
          </a:r>
        </a:p>
      </xdr:txBody>
    </xdr:sp>
    <xdr:clientData/>
  </xdr:twoCellAnchor>
  <xdr:twoCellAnchor>
    <xdr:from>
      <xdr:col>7</xdr:col>
      <xdr:colOff>463177</xdr:colOff>
      <xdr:row>9</xdr:row>
      <xdr:rowOff>0</xdr:rowOff>
    </xdr:from>
    <xdr:to>
      <xdr:col>7</xdr:col>
      <xdr:colOff>1068295</xdr:colOff>
      <xdr:row>9</xdr:row>
      <xdr:rowOff>353786</xdr:rowOff>
    </xdr:to>
    <xdr:sp macro="[0]!Midnight" textlink="">
      <xdr:nvSpPr>
        <xdr:cNvPr id="24" name="Rectangle 23"/>
        <xdr:cNvSpPr/>
      </xdr:nvSpPr>
      <xdr:spPr>
        <a:xfrm>
          <a:off x="9706963" y="2358571"/>
          <a:ext cx="605118" cy="35378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ysClr val="windowText" lastClr="000000"/>
              </a:solidFill>
            </a:rPr>
            <a:t>00:00</a:t>
          </a:r>
        </a:p>
      </xdr:txBody>
    </xdr:sp>
    <xdr:clientData/>
  </xdr:twoCellAnchor>
  <xdr:twoCellAnchor>
    <xdr:from>
      <xdr:col>8</xdr:col>
      <xdr:colOff>463176</xdr:colOff>
      <xdr:row>9</xdr:row>
      <xdr:rowOff>0</xdr:rowOff>
    </xdr:from>
    <xdr:to>
      <xdr:col>8</xdr:col>
      <xdr:colOff>1068294</xdr:colOff>
      <xdr:row>9</xdr:row>
      <xdr:rowOff>353786</xdr:rowOff>
    </xdr:to>
    <xdr:sp macro="[0]!OneAM" textlink="">
      <xdr:nvSpPr>
        <xdr:cNvPr id="25" name="Rectangle 24"/>
        <xdr:cNvSpPr/>
      </xdr:nvSpPr>
      <xdr:spPr>
        <a:xfrm>
          <a:off x="11140247" y="2358571"/>
          <a:ext cx="605118" cy="35378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ysClr val="windowText" lastClr="000000"/>
              </a:solidFill>
            </a:rPr>
            <a:t>01:00</a:t>
          </a:r>
        </a:p>
      </xdr:txBody>
    </xdr:sp>
    <xdr:clientData/>
  </xdr:twoCellAnchor>
  <xdr:twoCellAnchor>
    <xdr:from>
      <xdr:col>9</xdr:col>
      <xdr:colOff>463177</xdr:colOff>
      <xdr:row>9</xdr:row>
      <xdr:rowOff>0</xdr:rowOff>
    </xdr:from>
    <xdr:to>
      <xdr:col>9</xdr:col>
      <xdr:colOff>1068295</xdr:colOff>
      <xdr:row>9</xdr:row>
      <xdr:rowOff>353786</xdr:rowOff>
    </xdr:to>
    <xdr:sp macro="[0]!TwoAM" textlink="">
      <xdr:nvSpPr>
        <xdr:cNvPr id="26" name="Rectangle 25"/>
        <xdr:cNvSpPr/>
      </xdr:nvSpPr>
      <xdr:spPr>
        <a:xfrm>
          <a:off x="12573534" y="2358571"/>
          <a:ext cx="605118" cy="35378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ysClr val="windowText" lastClr="000000"/>
              </a:solidFill>
            </a:rPr>
            <a:t>02:00</a:t>
          </a:r>
        </a:p>
      </xdr:txBody>
    </xdr:sp>
    <xdr:clientData/>
  </xdr:twoCellAnchor>
  <xdr:twoCellAnchor>
    <xdr:from>
      <xdr:col>10</xdr:col>
      <xdr:colOff>463176</xdr:colOff>
      <xdr:row>9</xdr:row>
      <xdr:rowOff>0</xdr:rowOff>
    </xdr:from>
    <xdr:to>
      <xdr:col>10</xdr:col>
      <xdr:colOff>1068294</xdr:colOff>
      <xdr:row>9</xdr:row>
      <xdr:rowOff>353786</xdr:rowOff>
    </xdr:to>
    <xdr:sp macro="[0]!ThreeAM" textlink="">
      <xdr:nvSpPr>
        <xdr:cNvPr id="27" name="Rectangle 26"/>
        <xdr:cNvSpPr/>
      </xdr:nvSpPr>
      <xdr:spPr>
        <a:xfrm>
          <a:off x="14006819" y="2358571"/>
          <a:ext cx="605118" cy="35378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ysClr val="windowText" lastClr="000000"/>
              </a:solidFill>
            </a:rPr>
            <a:t>03:00</a:t>
          </a:r>
        </a:p>
      </xdr:txBody>
    </xdr:sp>
    <xdr:clientData/>
  </xdr:twoCellAnchor>
  <xdr:twoCellAnchor>
    <xdr:from>
      <xdr:col>11</xdr:col>
      <xdr:colOff>463177</xdr:colOff>
      <xdr:row>9</xdr:row>
      <xdr:rowOff>0</xdr:rowOff>
    </xdr:from>
    <xdr:to>
      <xdr:col>11</xdr:col>
      <xdr:colOff>1068295</xdr:colOff>
      <xdr:row>9</xdr:row>
      <xdr:rowOff>353786</xdr:rowOff>
    </xdr:to>
    <xdr:sp macro="[0]!FourAM" textlink="">
      <xdr:nvSpPr>
        <xdr:cNvPr id="28" name="Rectangle 27"/>
        <xdr:cNvSpPr/>
      </xdr:nvSpPr>
      <xdr:spPr>
        <a:xfrm>
          <a:off x="15440106" y="2358571"/>
          <a:ext cx="605118" cy="35378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ysClr val="windowText" lastClr="000000"/>
              </a:solidFill>
            </a:rPr>
            <a:t>04:00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629356</xdr:colOff>
      <xdr:row>5</xdr:row>
      <xdr:rowOff>146320</xdr:rowOff>
    </xdr:to>
    <xdr:sp macro="[0]!GO_TO_WELCOME_SHEET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14198600" y="1346200"/>
          <a:ext cx="1270706" cy="47017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Return</a:t>
          </a:r>
        </a:p>
      </xdr:txBody>
    </xdr:sp>
    <xdr:clientData/>
  </xdr:twoCellAnchor>
  <xdr:twoCellAnchor>
    <xdr:from>
      <xdr:col>13</xdr:col>
      <xdr:colOff>0</xdr:colOff>
      <xdr:row>7</xdr:row>
      <xdr:rowOff>97119</xdr:rowOff>
    </xdr:from>
    <xdr:to>
      <xdr:col>15</xdr:col>
      <xdr:colOff>0</xdr:colOff>
      <xdr:row>9</xdr:row>
      <xdr:rowOff>194235</xdr:rowOff>
    </xdr:to>
    <xdr:sp macro="[0]!SelectSPT" textlink="">
      <xdr:nvSpPr>
        <xdr:cNvPr id="23" name="Rectangle: Rounded Corners 20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14198600" y="2135469"/>
          <a:ext cx="1282700" cy="46541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SPT</a:t>
          </a:r>
        </a:p>
      </xdr:txBody>
    </xdr:sp>
    <xdr:clientData/>
  </xdr:twoCellAnchor>
  <xdr:twoCellAnchor>
    <xdr:from>
      <xdr:col>13</xdr:col>
      <xdr:colOff>0</xdr:colOff>
      <xdr:row>14</xdr:row>
      <xdr:rowOff>179295</xdr:rowOff>
    </xdr:from>
    <xdr:to>
      <xdr:col>14</xdr:col>
      <xdr:colOff>629611</xdr:colOff>
      <xdr:row>17</xdr:row>
      <xdr:rowOff>63501</xdr:rowOff>
    </xdr:to>
    <xdr:sp macro="[0]!clearAll_PPA" textlink="">
      <xdr:nvSpPr>
        <xdr:cNvPr id="13" name="Rectangle 12"/>
        <xdr:cNvSpPr/>
      </xdr:nvSpPr>
      <xdr:spPr>
        <a:xfrm>
          <a:off x="14198600" y="3824195"/>
          <a:ext cx="1270961" cy="45570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Clear</a:t>
          </a:r>
          <a:r>
            <a:rPr lang="en-US" sz="1600" b="1" baseline="0"/>
            <a:t> Data</a:t>
          </a:r>
          <a:endParaRPr lang="en-US" sz="1600" b="1"/>
        </a:p>
      </xdr:txBody>
    </xdr:sp>
    <xdr:clientData/>
  </xdr:twoCellAnchor>
  <xdr:twoCellAnchor>
    <xdr:from>
      <xdr:col>13</xdr:col>
      <xdr:colOff>0</xdr:colOff>
      <xdr:row>10</xdr:row>
      <xdr:rowOff>119531</xdr:rowOff>
    </xdr:from>
    <xdr:to>
      <xdr:col>15</xdr:col>
      <xdr:colOff>0</xdr:colOff>
      <xdr:row>13</xdr:row>
      <xdr:rowOff>14942</xdr:rowOff>
    </xdr:to>
    <xdr:sp macro="[0]!Sheet56.runALLPickStage" textlink="">
      <xdr:nvSpPr>
        <xdr:cNvPr id="14" name="Rectangle 13"/>
        <xdr:cNvSpPr/>
      </xdr:nvSpPr>
      <xdr:spPr>
        <a:xfrm>
          <a:off x="14198600" y="3002431"/>
          <a:ext cx="1282700" cy="466911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Run All</a:t>
          </a:r>
        </a:p>
      </xdr:txBody>
    </xdr:sp>
    <xdr:clientData/>
  </xdr:twoCellAnchor>
  <xdr:twoCellAnchor>
    <xdr:from>
      <xdr:col>3</xdr:col>
      <xdr:colOff>398609</xdr:colOff>
      <xdr:row>9</xdr:row>
      <xdr:rowOff>8006</xdr:rowOff>
    </xdr:from>
    <xdr:to>
      <xdr:col>3</xdr:col>
      <xdr:colOff>1015466</xdr:colOff>
      <xdr:row>9</xdr:row>
      <xdr:rowOff>351118</xdr:rowOff>
    </xdr:to>
    <xdr:sp macro="[0]!FourAM" textlink="">
      <xdr:nvSpPr>
        <xdr:cNvPr id="3" name="Rectangle 2"/>
        <xdr:cNvSpPr/>
      </xdr:nvSpPr>
      <xdr:spPr>
        <a:xfrm>
          <a:off x="3909785" y="2413535"/>
          <a:ext cx="616857" cy="343112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04:00</a:t>
          </a:r>
        </a:p>
      </xdr:txBody>
    </xdr:sp>
    <xdr:clientData/>
  </xdr:twoCellAnchor>
  <xdr:twoCellAnchor>
    <xdr:from>
      <xdr:col>4</xdr:col>
      <xdr:colOff>398609</xdr:colOff>
      <xdr:row>9</xdr:row>
      <xdr:rowOff>8006</xdr:rowOff>
    </xdr:from>
    <xdr:to>
      <xdr:col>4</xdr:col>
      <xdr:colOff>1015466</xdr:colOff>
      <xdr:row>9</xdr:row>
      <xdr:rowOff>351118</xdr:rowOff>
    </xdr:to>
    <xdr:sp macro="[0]!FiveAM" textlink="">
      <xdr:nvSpPr>
        <xdr:cNvPr id="16" name="Rectangle 15"/>
        <xdr:cNvSpPr/>
      </xdr:nvSpPr>
      <xdr:spPr>
        <a:xfrm>
          <a:off x="5344138" y="2413535"/>
          <a:ext cx="616857" cy="343112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05:00</a:t>
          </a:r>
        </a:p>
      </xdr:txBody>
    </xdr:sp>
    <xdr:clientData/>
  </xdr:twoCellAnchor>
  <xdr:twoCellAnchor>
    <xdr:from>
      <xdr:col>5</xdr:col>
      <xdr:colOff>398609</xdr:colOff>
      <xdr:row>9</xdr:row>
      <xdr:rowOff>8006</xdr:rowOff>
    </xdr:from>
    <xdr:to>
      <xdr:col>5</xdr:col>
      <xdr:colOff>1015466</xdr:colOff>
      <xdr:row>9</xdr:row>
      <xdr:rowOff>351118</xdr:rowOff>
    </xdr:to>
    <xdr:sp macro="[0]!SixAM" textlink="">
      <xdr:nvSpPr>
        <xdr:cNvPr id="17" name="Rectangle 16"/>
        <xdr:cNvSpPr/>
      </xdr:nvSpPr>
      <xdr:spPr>
        <a:xfrm>
          <a:off x="6778491" y="2413535"/>
          <a:ext cx="616857" cy="343112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06:00</a:t>
          </a:r>
        </a:p>
      </xdr:txBody>
    </xdr:sp>
    <xdr:clientData/>
  </xdr:twoCellAnchor>
  <xdr:twoCellAnchor>
    <xdr:from>
      <xdr:col>6</xdr:col>
      <xdr:colOff>398609</xdr:colOff>
      <xdr:row>9</xdr:row>
      <xdr:rowOff>8006</xdr:rowOff>
    </xdr:from>
    <xdr:to>
      <xdr:col>6</xdr:col>
      <xdr:colOff>1015466</xdr:colOff>
      <xdr:row>9</xdr:row>
      <xdr:rowOff>351118</xdr:rowOff>
    </xdr:to>
    <xdr:sp macro="[0]!SevenAM" textlink="">
      <xdr:nvSpPr>
        <xdr:cNvPr id="18" name="Rectangle 17"/>
        <xdr:cNvSpPr/>
      </xdr:nvSpPr>
      <xdr:spPr>
        <a:xfrm>
          <a:off x="8212844" y="2413535"/>
          <a:ext cx="616857" cy="343112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07:00</a:t>
          </a:r>
        </a:p>
      </xdr:txBody>
    </xdr:sp>
    <xdr:clientData/>
  </xdr:twoCellAnchor>
  <xdr:twoCellAnchor>
    <xdr:from>
      <xdr:col>7</xdr:col>
      <xdr:colOff>398609</xdr:colOff>
      <xdr:row>9</xdr:row>
      <xdr:rowOff>8006</xdr:rowOff>
    </xdr:from>
    <xdr:to>
      <xdr:col>7</xdr:col>
      <xdr:colOff>1015466</xdr:colOff>
      <xdr:row>9</xdr:row>
      <xdr:rowOff>351118</xdr:rowOff>
    </xdr:to>
    <xdr:sp macro="[0]!EightAM" textlink="">
      <xdr:nvSpPr>
        <xdr:cNvPr id="19" name="Rectangle 18"/>
        <xdr:cNvSpPr/>
      </xdr:nvSpPr>
      <xdr:spPr>
        <a:xfrm>
          <a:off x="9647197" y="2413535"/>
          <a:ext cx="616857" cy="343112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08:00</a:t>
          </a:r>
        </a:p>
      </xdr:txBody>
    </xdr:sp>
    <xdr:clientData/>
  </xdr:twoCellAnchor>
  <xdr:twoCellAnchor>
    <xdr:from>
      <xdr:col>8</xdr:col>
      <xdr:colOff>398610</xdr:colOff>
      <xdr:row>9</xdr:row>
      <xdr:rowOff>8006</xdr:rowOff>
    </xdr:from>
    <xdr:to>
      <xdr:col>8</xdr:col>
      <xdr:colOff>1015467</xdr:colOff>
      <xdr:row>9</xdr:row>
      <xdr:rowOff>351118</xdr:rowOff>
    </xdr:to>
    <xdr:sp macro="[0]!NineAM" textlink="">
      <xdr:nvSpPr>
        <xdr:cNvPr id="20" name="Rectangle 19"/>
        <xdr:cNvSpPr/>
      </xdr:nvSpPr>
      <xdr:spPr>
        <a:xfrm>
          <a:off x="11081551" y="2413535"/>
          <a:ext cx="616857" cy="343112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09:00</a:t>
          </a:r>
        </a:p>
      </xdr:txBody>
    </xdr:sp>
    <xdr:clientData/>
  </xdr:twoCellAnchor>
  <xdr:twoCellAnchor>
    <xdr:from>
      <xdr:col>9</xdr:col>
      <xdr:colOff>418353</xdr:colOff>
      <xdr:row>9</xdr:row>
      <xdr:rowOff>0</xdr:rowOff>
    </xdr:from>
    <xdr:to>
      <xdr:col>9</xdr:col>
      <xdr:colOff>1035210</xdr:colOff>
      <xdr:row>9</xdr:row>
      <xdr:rowOff>343112</xdr:rowOff>
    </xdr:to>
    <xdr:sp macro="[0]!TenAM" textlink="">
      <xdr:nvSpPr>
        <xdr:cNvPr id="12" name="Rectangle 11"/>
        <xdr:cNvSpPr/>
      </xdr:nvSpPr>
      <xdr:spPr>
        <a:xfrm>
          <a:off x="12535647" y="2405529"/>
          <a:ext cx="616857" cy="343112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10:00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224118</xdr:rowOff>
    </xdr:from>
    <xdr:to>
      <xdr:col>16</xdr:col>
      <xdr:colOff>0</xdr:colOff>
      <xdr:row>5</xdr:row>
      <xdr:rowOff>141941</xdr:rowOff>
    </xdr:to>
    <xdr:sp macro="[0]!GO_TO_WELCOME_SHEET" textlink="">
      <xdr:nvSpPr>
        <xdr:cNvPr id="2" name="Rectangle 1"/>
        <xdr:cNvSpPr/>
      </xdr:nvSpPr>
      <xdr:spPr>
        <a:xfrm>
          <a:off x="17062824" y="1262530"/>
          <a:ext cx="1284941" cy="44823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Return</a:t>
          </a:r>
        </a:p>
      </xdr:txBody>
    </xdr:sp>
    <xdr:clientData/>
  </xdr:twoCellAnchor>
  <xdr:twoCellAnchor>
    <xdr:from>
      <xdr:col>14</xdr:col>
      <xdr:colOff>0</xdr:colOff>
      <xdr:row>7</xdr:row>
      <xdr:rowOff>97817</xdr:rowOff>
    </xdr:from>
    <xdr:to>
      <xdr:col>16</xdr:col>
      <xdr:colOff>0</xdr:colOff>
      <xdr:row>9</xdr:row>
      <xdr:rowOff>171824</xdr:rowOff>
    </xdr:to>
    <xdr:sp macro="[0]!SelectSPT" textlink="">
      <xdr:nvSpPr>
        <xdr:cNvPr id="12" name="Rectangle: Rounded Corners 20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17062824" y="2047641"/>
          <a:ext cx="1284941" cy="44753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SPT</a:t>
          </a:r>
        </a:p>
      </xdr:txBody>
    </xdr:sp>
    <xdr:clientData/>
  </xdr:twoCellAnchor>
  <xdr:twoCellAnchor>
    <xdr:from>
      <xdr:col>14</xdr:col>
      <xdr:colOff>0</xdr:colOff>
      <xdr:row>10</xdr:row>
      <xdr:rowOff>82176</xdr:rowOff>
    </xdr:from>
    <xdr:to>
      <xdr:col>16</xdr:col>
      <xdr:colOff>0</xdr:colOff>
      <xdr:row>12</xdr:row>
      <xdr:rowOff>134470</xdr:rowOff>
    </xdr:to>
    <xdr:sp macro="[0]!Sheet51.runALL_MCO" textlink="">
      <xdr:nvSpPr>
        <xdr:cNvPr id="13" name="Rectangle 12"/>
        <xdr:cNvSpPr/>
      </xdr:nvSpPr>
      <xdr:spPr>
        <a:xfrm>
          <a:off x="17062824" y="2883647"/>
          <a:ext cx="1284941" cy="440764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Run All</a:t>
          </a:r>
        </a:p>
      </xdr:txBody>
    </xdr:sp>
    <xdr:clientData/>
  </xdr:twoCellAnchor>
  <xdr:twoCellAnchor>
    <xdr:from>
      <xdr:col>14</xdr:col>
      <xdr:colOff>0</xdr:colOff>
      <xdr:row>14</xdr:row>
      <xdr:rowOff>44824</xdr:rowOff>
    </xdr:from>
    <xdr:to>
      <xdr:col>15</xdr:col>
      <xdr:colOff>626464</xdr:colOff>
      <xdr:row>16</xdr:row>
      <xdr:rowOff>112060</xdr:rowOff>
    </xdr:to>
    <xdr:sp macro="[0]!clearAll_PPA" textlink="">
      <xdr:nvSpPr>
        <xdr:cNvPr id="15" name="Rectangle 14"/>
        <xdr:cNvSpPr/>
      </xdr:nvSpPr>
      <xdr:spPr>
        <a:xfrm>
          <a:off x="17062824" y="3623236"/>
          <a:ext cx="1268934" cy="45570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</a:t>
          </a:r>
          <a:r>
            <a:rPr lang="en-US" sz="1400" b="1" baseline="0"/>
            <a:t> Data</a:t>
          </a:r>
          <a:endParaRPr lang="en-US" sz="1400" b="1"/>
        </a:p>
      </xdr:txBody>
    </xdr:sp>
    <xdr:clientData/>
  </xdr:twoCellAnchor>
  <xdr:twoCellAnchor>
    <xdr:from>
      <xdr:col>3</xdr:col>
      <xdr:colOff>440764</xdr:colOff>
      <xdr:row>9</xdr:row>
      <xdr:rowOff>14941</xdr:rowOff>
    </xdr:from>
    <xdr:to>
      <xdr:col>3</xdr:col>
      <xdr:colOff>1016000</xdr:colOff>
      <xdr:row>9</xdr:row>
      <xdr:rowOff>381000</xdr:rowOff>
    </xdr:to>
    <xdr:sp macro="[0]!SixAM" textlink="">
      <xdr:nvSpPr>
        <xdr:cNvPr id="3" name="Rectangle 2"/>
        <xdr:cNvSpPr/>
      </xdr:nvSpPr>
      <xdr:spPr>
        <a:xfrm>
          <a:off x="3974352" y="2159000"/>
          <a:ext cx="575236" cy="36605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06:00</a:t>
          </a:r>
        </a:p>
      </xdr:txBody>
    </xdr:sp>
    <xdr:clientData/>
  </xdr:twoCellAnchor>
  <xdr:twoCellAnchor>
    <xdr:from>
      <xdr:col>4</xdr:col>
      <xdr:colOff>440763</xdr:colOff>
      <xdr:row>9</xdr:row>
      <xdr:rowOff>14941</xdr:rowOff>
    </xdr:from>
    <xdr:to>
      <xdr:col>4</xdr:col>
      <xdr:colOff>1015999</xdr:colOff>
      <xdr:row>9</xdr:row>
      <xdr:rowOff>381000</xdr:rowOff>
    </xdr:to>
    <xdr:sp macro="[0]!SevenAM" textlink="">
      <xdr:nvSpPr>
        <xdr:cNvPr id="17" name="Rectangle 16"/>
        <xdr:cNvSpPr/>
      </xdr:nvSpPr>
      <xdr:spPr>
        <a:xfrm>
          <a:off x="5416175" y="2159000"/>
          <a:ext cx="575236" cy="36605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07:00</a:t>
          </a:r>
        </a:p>
      </xdr:txBody>
    </xdr:sp>
    <xdr:clientData/>
  </xdr:twoCellAnchor>
  <xdr:twoCellAnchor>
    <xdr:from>
      <xdr:col>5</xdr:col>
      <xdr:colOff>440764</xdr:colOff>
      <xdr:row>9</xdr:row>
      <xdr:rowOff>14941</xdr:rowOff>
    </xdr:from>
    <xdr:to>
      <xdr:col>5</xdr:col>
      <xdr:colOff>1016000</xdr:colOff>
      <xdr:row>9</xdr:row>
      <xdr:rowOff>381000</xdr:rowOff>
    </xdr:to>
    <xdr:sp macro="[0]!EightAM" textlink="">
      <xdr:nvSpPr>
        <xdr:cNvPr id="18" name="Rectangle 17"/>
        <xdr:cNvSpPr/>
      </xdr:nvSpPr>
      <xdr:spPr>
        <a:xfrm>
          <a:off x="6857999" y="2159000"/>
          <a:ext cx="575236" cy="36605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08:00</a:t>
          </a:r>
        </a:p>
      </xdr:txBody>
    </xdr:sp>
    <xdr:clientData/>
  </xdr:twoCellAnchor>
  <xdr:twoCellAnchor>
    <xdr:from>
      <xdr:col>6</xdr:col>
      <xdr:colOff>440763</xdr:colOff>
      <xdr:row>9</xdr:row>
      <xdr:rowOff>14941</xdr:rowOff>
    </xdr:from>
    <xdr:to>
      <xdr:col>6</xdr:col>
      <xdr:colOff>1015999</xdr:colOff>
      <xdr:row>9</xdr:row>
      <xdr:rowOff>381000</xdr:rowOff>
    </xdr:to>
    <xdr:sp macro="[0]!NineAM" textlink="">
      <xdr:nvSpPr>
        <xdr:cNvPr id="19" name="Rectangle 18"/>
        <xdr:cNvSpPr/>
      </xdr:nvSpPr>
      <xdr:spPr>
        <a:xfrm>
          <a:off x="8299822" y="2159000"/>
          <a:ext cx="575236" cy="36605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09:00</a:t>
          </a:r>
        </a:p>
      </xdr:txBody>
    </xdr:sp>
    <xdr:clientData/>
  </xdr:twoCellAnchor>
  <xdr:twoCellAnchor>
    <xdr:from>
      <xdr:col>7</xdr:col>
      <xdr:colOff>440764</xdr:colOff>
      <xdr:row>9</xdr:row>
      <xdr:rowOff>14941</xdr:rowOff>
    </xdr:from>
    <xdr:to>
      <xdr:col>7</xdr:col>
      <xdr:colOff>1016000</xdr:colOff>
      <xdr:row>9</xdr:row>
      <xdr:rowOff>381000</xdr:rowOff>
    </xdr:to>
    <xdr:sp macro="[0]!TenAM" textlink="">
      <xdr:nvSpPr>
        <xdr:cNvPr id="20" name="Rectangle 19"/>
        <xdr:cNvSpPr/>
      </xdr:nvSpPr>
      <xdr:spPr>
        <a:xfrm>
          <a:off x="9741646" y="2159000"/>
          <a:ext cx="575236" cy="36605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10:00</a:t>
          </a:r>
        </a:p>
      </xdr:txBody>
    </xdr:sp>
    <xdr:clientData/>
  </xdr:twoCellAnchor>
  <xdr:twoCellAnchor>
    <xdr:from>
      <xdr:col>8</xdr:col>
      <xdr:colOff>440763</xdr:colOff>
      <xdr:row>9</xdr:row>
      <xdr:rowOff>14941</xdr:rowOff>
    </xdr:from>
    <xdr:to>
      <xdr:col>8</xdr:col>
      <xdr:colOff>1015999</xdr:colOff>
      <xdr:row>9</xdr:row>
      <xdr:rowOff>381000</xdr:rowOff>
    </xdr:to>
    <xdr:sp macro="[0]!ElevenAM" textlink="">
      <xdr:nvSpPr>
        <xdr:cNvPr id="21" name="Rectangle 20"/>
        <xdr:cNvSpPr/>
      </xdr:nvSpPr>
      <xdr:spPr>
        <a:xfrm>
          <a:off x="11183469" y="2159000"/>
          <a:ext cx="575236" cy="36605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11:00</a:t>
          </a:r>
        </a:p>
      </xdr:txBody>
    </xdr:sp>
    <xdr:clientData/>
  </xdr:twoCellAnchor>
  <xdr:twoCellAnchor>
    <xdr:from>
      <xdr:col>9</xdr:col>
      <xdr:colOff>440764</xdr:colOff>
      <xdr:row>9</xdr:row>
      <xdr:rowOff>14941</xdr:rowOff>
    </xdr:from>
    <xdr:to>
      <xdr:col>9</xdr:col>
      <xdr:colOff>1016000</xdr:colOff>
      <xdr:row>9</xdr:row>
      <xdr:rowOff>381000</xdr:rowOff>
    </xdr:to>
    <xdr:sp macro="[0]!TwelvePM" textlink="">
      <xdr:nvSpPr>
        <xdr:cNvPr id="22" name="Rectangle 21"/>
        <xdr:cNvSpPr/>
      </xdr:nvSpPr>
      <xdr:spPr>
        <a:xfrm>
          <a:off x="12625293" y="2159000"/>
          <a:ext cx="575236" cy="36605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12:00</a:t>
          </a:r>
        </a:p>
      </xdr:txBody>
    </xdr:sp>
    <xdr:clientData/>
  </xdr:twoCellAnchor>
  <xdr:twoCellAnchor>
    <xdr:from>
      <xdr:col>10</xdr:col>
      <xdr:colOff>433294</xdr:colOff>
      <xdr:row>9</xdr:row>
      <xdr:rowOff>22412</xdr:rowOff>
    </xdr:from>
    <xdr:to>
      <xdr:col>10</xdr:col>
      <xdr:colOff>1008530</xdr:colOff>
      <xdr:row>9</xdr:row>
      <xdr:rowOff>388471</xdr:rowOff>
    </xdr:to>
    <xdr:sp macro="[0]!OnePM" textlink="">
      <xdr:nvSpPr>
        <xdr:cNvPr id="14" name="Rectangle 13"/>
        <xdr:cNvSpPr/>
      </xdr:nvSpPr>
      <xdr:spPr>
        <a:xfrm>
          <a:off x="14052176" y="2166471"/>
          <a:ext cx="575236" cy="36605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13:00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udlow/Desktop/backup/Documents/Oregon/The%20Ludlow%201.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PA.17"/>
      <sheetName val="PPA.18"/>
      <sheetName val="PPA.19"/>
      <sheetName val="PPA.20"/>
      <sheetName val="PPA.21"/>
      <sheetName val="PPA.22"/>
      <sheetName val="PPA.23"/>
      <sheetName val="PPA.0"/>
      <sheetName val="PPA.1"/>
      <sheetName val="PPA.2"/>
      <sheetName val="PPA.3"/>
      <sheetName val="PPA.4"/>
      <sheetName val="PPA.5"/>
      <sheetName val="PPA.6"/>
      <sheetName val="PPA.7"/>
      <sheetName val="PPA.8"/>
      <sheetName val="PPA.9"/>
      <sheetName val="PPA.10"/>
      <sheetName val="PPA.11"/>
      <sheetName val="PPA.12"/>
      <sheetName val="Summary"/>
      <sheetName val="NP - Helper"/>
      <sheetName val="PPA"/>
      <sheetName val="PPA.MCO1"/>
      <sheetName val="PPA.MCO2"/>
      <sheetName val="PPA.PS"/>
      <sheetName val="HC Logic and Calculations"/>
      <sheetName val="Instructions"/>
      <sheetName val="Carnival Shift Planner"/>
      <sheetName val="MegaCycle"/>
      <sheetName val="Sort 0"/>
      <sheetName val="Nights Planner"/>
      <sheetName val="Days Planner"/>
      <sheetName val="Sort Hourly"/>
      <sheetName val="MCO Hourly"/>
      <sheetName val="SPT vs Actual"/>
      <sheetName val="C1 Mech Cap"/>
      <sheetName val="Version"/>
      <sheetName val="SWA Data Entry"/>
      <sheetName val="SWA SWCL"/>
      <sheetName val="SWA SOS"/>
      <sheetName val="SWA Hourly"/>
      <sheetName val="SWA Wash"/>
      <sheetName val="SWA NDP"/>
      <sheetName val="SWA Staffing Matrix"/>
      <sheetName val="SWA TT&amp;Links"/>
      <sheetName val="ToDo"/>
      <sheetName val="Controls"/>
      <sheetName val="Shift Planner"/>
      <sheetName val="AMZL Attributes"/>
      <sheetName val="DATA"/>
      <sheetName val="Stow PPH Targets"/>
      <sheetName val="The Ludlow 1.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26">
          <cell r="D26">
            <v>359.22488038277515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>
        <row r="2">
          <cell r="C2">
            <v>43937</v>
          </cell>
        </row>
      </sheetData>
      <sheetData sheetId="30">
        <row r="3">
          <cell r="C3">
            <v>43985</v>
          </cell>
        </row>
      </sheetData>
      <sheetData sheetId="31">
        <row r="3">
          <cell r="C3">
            <v>43986</v>
          </cell>
        </row>
      </sheetData>
      <sheetData sheetId="32">
        <row r="2">
          <cell r="D2">
            <v>43986</v>
          </cell>
        </row>
      </sheetData>
      <sheetData sheetId="33"/>
      <sheetData sheetId="34"/>
      <sheetData sheetId="35">
        <row r="39">
          <cell r="E39"/>
        </row>
        <row r="53">
          <cell r="E53"/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</sheetDataSet>
  </externalBook>
</externalLink>
</file>

<file path=xl/queryTables/queryTable1.xml><?xml version="1.0" encoding="utf-8"?>
<queryTable xmlns="http://schemas.openxmlformats.org/spreadsheetml/2006/main" name="ExternalData_7" connectionId="80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" connectionId="66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6" connectionId="70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41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" connectionId="52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" connectionId="58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4" connectionId="62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4" connectionId="7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4" connectionId="71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8" connectionId="72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7" connectionId="76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2" connectionId="7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0" connectionId="68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22" connectionId="74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5" connectionId="62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0" connectionId="73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1" connectionId="70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" connectionId="42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7" connectionId="72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9" connectionId="73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6" connectionId="7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6" connectionId="66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1" connectionId="7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" connectionId="41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3" connectionId="71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7" connectionId="6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5" connectionId="75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23" connectionId="7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28" connectionId="76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8" connectionId="67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9" connectionId="67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4" connectionId="58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3" connectionId="53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5" connectionId="71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6" connectionId="71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" connectionId="41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4" connectionId="62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3" connectionId="58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2" connectionId="5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2" connectionId="52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3" connectionId="58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4" connectionId="62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" connectionId="41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3" connectionId="5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2" connectionId="42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1" connectionId="35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10" connectionId="3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9" connectionId="3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8" connectionId="29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7" connectionId="27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4" connectionId="19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3" connectionId="13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2" connectionId="3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6" connectionId="24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5" connectionId="2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11" connectionId="52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10" connectionId="5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9" connectionId="49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8" connectionId="48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7" connectionId="47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6" connectionId="44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5" connectionId="43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4" connectionId="3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3" connectionId="20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2" connectionId="17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" connectionId="11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4" connectionId="40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2" connectionId="6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" connectionId="5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3" connectionId="10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" connectionId="41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2" connectionId="57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1" connectionId="38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17" connectionId="30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19" connectionId="33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9" connectionId="9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33" connectionId="58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21" connectionId="35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25" connectionId="4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43" connectionId="71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41" connectionId="68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48" connectionId="75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22" connectionId="37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45" connectionId="74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36" connectionId="6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28" connectionId="4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23" connectionId="37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15" connectionId="23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31" connectionId="50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2" connectionId="11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3" connectionId="1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46" connectionId="74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27" connectionId="45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6" connectionId="26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29" connectionId="46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26" connectionId="44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39" connectionId="67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51" connectionId="77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6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42" connectionId="70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5" connectionId="3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0" connectionId="9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40" connectionId="67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7" connectionId="8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" connectionId="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30" connectionId="50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24" connectionId="38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50" connectionId="76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2" connectionId="1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13" connectionId="15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32" connectionId="55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4" connectionId="1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35" connectionId="60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38" connectionId="66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11" connectionId="10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49" connectionId="75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18" connectionId="31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20" connectionId="34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34" connectionId="59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14" connectionId="17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37" connectionId="667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47" connectionId="749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44" connectionId="73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8" connectionId="8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17" connectionId="30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7" connectionId="8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24" connectionId="446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33" connectionId="65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25" connectionId="46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39" connectionId="67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3" connectionId="1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16" connectionId="22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9" connectionId="9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21" connectionId="35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14" connectionId="17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10" connectionId="9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19" connectionId="338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52" connectionId="76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46" connectionId="74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18" connectionId="31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37" connectionId="66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23" connectionId="426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47" connectionId="75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22" connectionId="37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6" connectionId="5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30" connectionId="59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27" connectionId="506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34" connectionId="65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31" connectionId="60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2" connectionId="8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35" connectionId="65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50" connectionId="76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45" connectionId="73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51" connectionId="76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26" connectionId="47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5" connectionId="3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49" connectionId="75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38" connectionId="66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20" connectionId="34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11" connectionId="10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28" connectionId="559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13" connectionId="10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36" connectionId="659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8" connectionId="8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44" connectionId="72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40" connectionId="68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29" connectionId="58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48" connectionId="75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41" connectionId="68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42" connectionId="70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15" connectionId="19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43" connectionId="71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4" connectionId="16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53" connectionId="76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12" connectionId="10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32" connectionId="63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29" connectionId="65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20" connectionId="42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5" connectionId="5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22" connectionId="466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16" connectionId="34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32" connectionId="687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7" connectionId="78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11" connectionId="228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23" connectionId="47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2" connectionId="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6" connectionId="7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18" connectionId="38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28" connectionId="63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13" connectionId="30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8" connectionId="7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17" connectionId="356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15" connectionId="33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9" connectionId="9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25" connectionId="560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35" connectionId="73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1" connectionId="83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31" connectionId="68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27" connectionId="608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19" connectionId="42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10" connectionId="17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26" connectionId="58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12" connectionId="22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39" connectionId="77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30" connectionId="67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21" connectionId="448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38" connectionId="76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4" connectionId="37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24" connectionId="50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3" connectionId="1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37" connectionId="75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34" connectionId="71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36" connectionId="74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14" connectionId="31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33" connectionId="708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14" connectionId="357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6" connectionId="8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41" connectionId="71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45" connectionId="75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2" connectionId="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3" connectionId="1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35" connectionId="65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20" connectionId="449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15" connectionId="38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49" connectionId="774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44" connectionId="74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4" connectionId="38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22" connectionId="45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34" connectionId="63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11" connectionId="31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7" connectionId="93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19" connectionId="430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27" connectionId="50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36" connectionId="67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32" connectionId="609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37" connectionId="682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48" connectionId="77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10" connectionId="31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26" connectionId="48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31" connectionId="58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40" connectionId="709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28" connectionId="544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43" connectionId="73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42" connectionId="71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47" connectionId="77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8" connectionId="15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21" connectionId="452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17" connectionId="42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29" connectionId="55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5" connectionId="5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9" connectionId="17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39" connectionId="69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30" connectionId="56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23" connectionId="46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50" connectionId="80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33" connectionId="63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18" connectionId="42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24" connectionId="47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13" connectionId="349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1" connectionId="76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12" connectionId="34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46" connectionId="76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25" connectionId="475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38" connectionId="688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16" connectionId="40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6" connectionId="4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7" connectionId="60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14" connectionId="350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27" connectionId="555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5" connectionId="19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11" connectionId="31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38" connectionId="75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37" connectionId="69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19" connectionId="45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23" connectionId="476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28" connectionId="56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10" connectionId="176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20" connectionId="45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26" connectionId="545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35" connectionId="67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34" connectionId="65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22" connectionId="47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4" connectionId="1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3" connectionId="55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40" connectionId="80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25" connectionId="509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21" connectionId="46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30" connectionId="59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2" connectionId="16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9" connectionId="9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29" connectionId="589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8" connectionId="8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36" connectionId="68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16" connectionId="38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33" connectionId="63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31" connectionId="610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24" connectionId="48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13" connectionId="34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12" connectionId="31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32" connectionId="63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18" connectionId="424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ExternalData_39" connectionId="77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15" connectionId="358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17" connectionId="406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11" connectionId="177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8" connectionId="6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27" connectionId="600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21" connectionId="47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30" connectionId="69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1" connectionId="569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17" connectionId="351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3" connectionId="53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12" connectionId="18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10" connectionId="9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18" connectionId="360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9" connectionId="8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20" connectionId="455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22" connectionId="48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31" connectionId="777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32" connectionId="804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23" connectionId="510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15" connectionId="32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ExternalData_2" connectionId="182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4" connectionId="66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19" connectionId="40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_29" connectionId="657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24" connectionId="546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ExternalData_5" connectionId="68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13" connectionId="222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14" connectionId="31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7" connectionId="41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26" connectionId="56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ExternalData_6" connectionId="2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28" connectionId="61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16" connectionId="342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ExternalData_25" connectionId="556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ExternalData_6" connectionId="62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11" connectionId="321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ExternalData_27" connectionId="60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24" connectionId="54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ExternalData_17" connectionId="408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3" connectionId="70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1" connectionId="6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30" connectionId="805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16" connectionId="404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ExternalData_19" connectionId="478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10" connectionId="31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5" connectionId="4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26" connectionId="59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25" connectionId="564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21" connectionId="504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ExternalData_22" connectionId="51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28" connectionId="61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15" connectionId="40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18" connectionId="456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ExternalData_23" connectionId="53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9" connectionId="17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4" connectionId="2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ExternalData_2" connectionId="78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7" connectionId="8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13" connectionId="35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12" connectionId="34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ExternalData_14" connectionId="35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8" connectionId="9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29" connectionId="77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ExternalData_20" connectionId="488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22" connectionId="60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3" connectionId="2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11" connectionId="293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23" connectionId="61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ExternalData_8" connectionId="21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12" connectionId="32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ExternalData_4" connectionId="43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10" connectionId="28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14" connectionId="409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ExternalData_19" connectionId="549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ExternalData_17" connectionId="489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6" connectionId="20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9" connectionId="262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ExternalData_16" connectionId="47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21" connectionId="596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7" connectionId="21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_2" connectionId="503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18" connectionId="512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24" connectionId="806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20" connectionId="565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ExternalData_15" connectionId="45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5" connectionId="65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ExternalData_13" connectionId="36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ExternalData_1" connectionId="9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20" connectionId="550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3" connectionId="4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_25" connectionId="61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2" connectionId="2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13" connectionId="32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_19" connectionId="513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ExternalData_11" connectionId="28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22" connectionId="592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ExternalData_12" connectionId="294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1" connectionId="23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17" connectionId="480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23" connectionId="597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10" connectionId="265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ExternalData_9" connectionId="23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6" connectionId="20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16" connectionId="460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ExternalData_5" connectionId="18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24" connectionId="60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ExternalData_14" connectionId="362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ExternalData_8" connectionId="219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ExternalData_4" connectionId="6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_7" connectionId="217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_27" connectionId="807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ExternalData_21" connectionId="56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18" connectionId="49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ExternalData_26" connectionId="677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15" connectionId="410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16" connectionId="21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ExternalData_19" connectionId="23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ExternalData_10" connectionId="18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8" connectionId="159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ExternalData_31" connectionId="55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ExternalData_3" connectionId="46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6" connectionId="14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ExternalData_35" connectionId="615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ExternalData_23" connectionId="295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21" connectionId="26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ExternalData_34" connectionId="60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ExternalData_12" connectionId="192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ExternalData_27" connectionId="461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26" connectionId="411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2" connectionId="2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18" connectionId="224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ExternalData_7" connectionId="143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30" connectionId="515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ExternalData_15" connectionId="209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ExternalData_14" connectionId="20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ExternalData_36" connectionId="808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ExternalData_5" connectionId="13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24" connectionId="32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33" connectionId="598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13" connectionId="197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ExternalData_9" connectionId="167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ExternalData_11" connectionId="18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ExternalData_22" connectionId="286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ExternalData_17" connectionId="220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29" connectionId="49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32" connectionId="567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ExternalData_1" connectionId="347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20" connectionId="24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28" connectionId="48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ExternalData_25" connectionId="36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ExternalData_4" connectionId="67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17" connectionId="221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30" connectionId="51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25" connectionId="376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11" connectionId="18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ExternalData_15" connectionId="21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ExternalData_26" connectionId="41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ExternalData_12" connectionId="190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ExternalData_14" connectionId="198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ExternalData_7" connectionId="6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21" connectionId="287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ExternalData_18" connectionId="230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ExternalData_29" connectionId="493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ExternalData_27" connectionId="46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ExternalData_2" connectionId="602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ExternalData_28" connectionId="483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19" connectionId="238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ExternalData_22" connectionId="29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16" connectionId="213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ExternalData_24" connectionId="36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ExternalData_23" connectionId="326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ExternalData_20" connectionId="26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ExternalData_3" connectionId="727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ExternalData_8" connectionId="137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ExternalData_13" connectionId="19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31" connectionId="552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ExternalData_10" connectionId="16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33" connectionId="616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ExternalData_9" connectionId="141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ExternalData_4" connectionId="748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ExternalData_32" connectionId="568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ExternalData_5" connectionId="26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ExternalData_34" connectionId="809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ExternalData_6" connectionId="47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ExternalData_7" connectionId="13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ExternalData_42" connectionId="827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ExternalData_16" connectionId="211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ExternalData_5" connectionId="129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ExternalData_8" connectionId="13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ExternalData_28" connectionId="463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ExternalData_43" connectionId="2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14" connectionId="19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ExternalData_26" connectionId="431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ExternalData_36" connectionId="617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ExternalData_22" connectionId="327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ExternalData_21" connectionId="297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ExternalData_15" connectionId="199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ExternalData_13" connectionId="185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ExternalData_12" connectionId="162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ExternalData_3" connectionId="48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ExternalData_18" connectionId="227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ExternalData_19" connectionId="268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ExternalData_38" connectionId="778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ExternalData_33" connectionId="553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ExternalData_30" connectionId="49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ExternalData_9" connectionId="134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ExternalData_11" connectionId="142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ExternalData_35" connectionId="593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ExternalData_4" connectionId="69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ExternalData_2" connectionId="28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ExternalData_34" connectionId="571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ExternalData_1" connectionId="769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ExternalData_29" connectionId="484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ExternalData_6" connectionId="13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_10" connectionId="135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ExternalData_32" connectionId="517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ExternalData_41" connectionId="811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ExternalData_40" connectionId="810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ExternalData_17" connectionId="21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ExternalData_27" connectionId="438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ExternalData_37" connectionId="69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ExternalData_25" connectionId="413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ExternalData_23" connectionId="365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ExternalData_24" connectionId="388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ExternalData_39" connectionId="785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ExternalData_31" connectionId="49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ExternalData_20" connectionId="288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ExternalData_31" connectionId="826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ExternalData_15" connectionId="298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ExternalData_14" connectionId="289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ExternalData_27" connectionId="69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ExternalData_22" connectionId="439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ExternalData_29" connectionId="787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ExternalData_4" connectionId="136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ExternalData_30" connectionId="812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ExternalData_2" connectionId="49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ExternalData_9" connectionId="19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ExternalData_10" connectionId="200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ExternalData_13" connectionId="269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ExternalData_25" connectionId="57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ExternalData_12" connectionId="241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ExternalData_5" connectionId="163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21" connectionId="432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ExternalData_23" connectionId="496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ExternalData_8" connectionId="188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ExternalData_26" connectionId="618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ExternalData_3" connectionId="71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7" connectionId="186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19" connectionId="389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ExternalData_18" connectionId="384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ExternalData_24" connectionId="518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ExternalData_28" connectionId="779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ExternalData_6" connectionId="179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ExternalData_1" connectionId="29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ExternalData_11" connectionId="202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ExternalData_20" connectionId="42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ExternalData_17" connectionId="366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ExternalData_16" connectionId="328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ExternalData_21" connectionId="299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ExternalData_38" connectionId="720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ExternalData_18" connectionId="264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ExternalData_1" connectionId="45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ExternalData_29" connectionId="519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ExternalData_46" connectionId="817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ExternalData_36" connectionId="695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ExternalData_5" connectionId="50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ExternalData_42" connectionId="79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ExternalData_8" connectionId="130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ExternalData_32" connectionId="619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ExternalData_30" connectionId="535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ExternalData_27" connectionId="440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ExternalData_28" connectionId="497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ExternalData_9" connectionId="144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ExternalData_44" connectionId="79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ExternalData_45" connectionId="813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ExternalData_25" connectionId="395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14" connectionId="164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35" connectionId="658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ExternalData_52" connectionId="27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ExternalData_43" connectionId="793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ExternalData_34" connectionId="644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ExternalData_47" connectionId="825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ExternalData_10" connectionId="146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ExternalData_17" connectionId="252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ExternalData_48" connectionId="829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ExternalData_16" connectionId="20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ExternalData_24" connectionId="390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ExternalData_22" connectionId="329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ExternalData_19" connectionId="273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ExternalData_40" connectionId="786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ExternalData_6" connectionId="7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ExternalData_33" connectionId="639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ExternalData_20" connectionId="290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ExternalData_26" connectionId="433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50" connectionId="831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ExternalData_11" connectionId="147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ExternalData_7" connectionId="128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ExternalData_2" connectionId="57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ExternalData_12" connectionId="148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ExternalData_41" connectionId="788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ExternalData_13" connectionId="153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ExternalData_51" connectionId="83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ExternalData_39" connectionId="781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ExternalData_4" connectionId="30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ExternalData_49" connectionId="830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ExternalData_31" connectionId="573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ExternalData_15" connectionId="16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ExternalData_3" connectionId="674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ExternalData_23" connectionId="367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ExternalData_37" connectionId="696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ExternalData_36" connectionId="640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ExternalData_37" connectionId="645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ExternalData_18" connectionId="255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ExternalData_24" connectionId="386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ExternalData_39" connectionId="721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ExternalData_21" connectionId="330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ExternalData_25" connectionId="391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ExternalData_30" connectionId="520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ExternalData_12" connectionId="152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ExternalData_35" connectionId="620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ExternalData_5" connectionId="73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ExternalData_20" connectionId="300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ExternalData_44" connectionId="814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ExternalData_22" connectionId="368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ExternalData_3" connectionId="3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ExternalData_4" connectionId="5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ExternalData_6" connectionId="108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ExternalData_42" connectionId="789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ExternalData_11" connectionId="151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ExternalData_32" connectionId="541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ExternalData_45" connectionId="818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ExternalData_27" connectionId="43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ExternalData_26" connectionId="396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ExternalData_9" connectionId="145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ExternalData_23" connectionId="385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ExternalData_31" connectionId="53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ExternalData_28" connectionId="441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ExternalData_8" connectionId="125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ExternalData_19" connectionId="291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ExternalData_33" connectionId="574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ExternalData_2" connectionId="88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ExternalData_15" connectionId="20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ExternalData_13" connectionId="165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ExternalData_7" connectionId="110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ExternalData_10" connectionId="150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ExternalData_29" connectionId="49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ExternalData_17" connectionId="253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ExternalData_40" connectionId="730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ExternalData_16" connectionId="239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ExternalData_41" connectionId="782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ExternalData_14" connectionId="169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ExternalData_1" connectionId="70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ExternalData_43" connectionId="795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ExternalData_38" connectionId="697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ExternalData_46" connectionId="828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ExternalData_34" connectionId="594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ExternalData_37" connectionId="442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ExternalData_1" connectionId="82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ExternalData_22" connectionId="122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ExternalData_35" connectionId="397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ExternalData_33" connectionId="369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ExternalData_42" connectionId="543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47" connectionId="698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ExternalData_41" connectionId="53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ExternalData_10" connectionId="74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ExternalData_30" connectionId="278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ExternalData_9" connectionId="53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ExternalData_2" connectionId="214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ExternalData_23" connectionId="124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ExternalData_26" connectionId="166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ExternalData_5" connectionId="392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ExternalData_39" connectionId="499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ExternalData_32" connectionId="331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ExternalData_31" connectionId="30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ExternalData_13" connectionId="109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ExternalData_52" connectionId="796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14" connectionId="111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ExternalData_36" connectionId="435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ExternalData_34" connectionId="393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ExternalData_27" connectionId="170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ExternalData_20" connectionId="120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ExternalData_40" connectionId="521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ExternalData_4" connectionId="281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ExternalData_15" connectionId="113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ExternalData_45" connectionId="637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ExternalData_49" connectionId="731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ExternalData_21" connectionId="121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ExternalData_8" connectionId="32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ExternalData_28" connectionId="180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ExternalData_18" connectionId="117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ExternalData_51" connectionId="790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ExternalData_38" connectionId="444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ExternalData_17" connectionId="115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ExternalData_12" connectionId="107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25" connectionId="154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ExternalData_24" connectionId="123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ExternalData_7" connectionId="581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ExternalData_44" connectionId="621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ExternalData_46" connectionId="64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53" connectionId="815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ExternalData_11" connectionId="105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ExternalData_50" connectionId="783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ExternalData_6" connectionId="459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ExternalData_48" connectionId="722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ExternalData_43" connectionId="57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ExternalData_3" connectionId="259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ExternalData_29" connectionId="271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ExternalData_54" connectionId="819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ExternalData_19" connectionId="119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ExternalData_16" connectionId="114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ExternalData_15" connectionId="371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ExternalData_16" connectionId="377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ExternalData_29" connectionId="699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12" connectionId="279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ExternalData_27" connectionId="638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ExternalData_35" connectionId="820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ExternalData_23" connectionId="534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ExternalData_7" connectionId="75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ExternalData_3" connectionId="237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ExternalData_32" connectionId="791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ExternalData_30" connectionId="724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ExternalData_13" connectionId="302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20" connectionId="443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ExternalData_24" connectionId="542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18" connectionId="398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ExternalData_5" connectionId="34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ExternalData_4" connectionId="303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ExternalData_17" connectionId="394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ExternalData_25" connectionId="576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ExternalData_26" connectionId="622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ExternalData_11" connectionId="277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ExternalData_10" connectionId="272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ExternalData_6" connectionId="54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ExternalData_28" connectionId="64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ExternalData_1" connectionId="94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34" connectionId="816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14" connectionId="33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ExternalData_31" connectionId="784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ExternalData_33" connectionId="797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ExternalData_21" connectionId="500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ExternalData_22" connectionId="522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ExternalData_2" connectionId="149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ExternalData_9" connectionId="249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ExternalData_19" connectionId="437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ExternalData_8" connectionId="155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ExternalData_9" connectionId="243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ExternalData_15" connectionId="251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ExternalData_29" connectionId="700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ExternalData_4" connectionId="348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ExternalData_7" connectionId="232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ExternalData_6" connectionId="231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ExternalData_18" connectionId="280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ExternalData_30" connectionId="72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ExternalData_28" connectionId="648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_2" connectionId="118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ExternalData_32" connectionId="798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ExternalData_21" connectionId="37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ExternalData_25" connectionId="577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ExternalData_14" connectionId="250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ExternalData_8" connectionId="240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ExternalData_26" connectionId="623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5" connectionId="226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ExternalData_10" connectionId="244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ExternalData_33" connectionId="821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ExternalData_19" connectionId="304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ExternalData_34" connectionId="82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ExternalData_1" connectionId="106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ExternalData_22" connectionId="39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ExternalData_23" connectionId="523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ExternalData_17" connectionId="257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ExternalData_13" connectionId="247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ExternalData_31" connectionId="73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35" connectionId="82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ExternalData_12" connectionId="246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ExternalData_16" connectionId="25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ExternalData_24" connectionId="537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ExternalData_27" connectionId="642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ExternalData_20" connectionId="33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ExternalData_11" connectionId="245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ExternalData_3" connectionId="127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ExternalData_12" connectionId="334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ExternalData_23" connectionId="664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ExternalData_13" connectionId="373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ExternalData_18" connectionId="540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ExternalData_31" connectionId="15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ExternalData_15" connectionId="501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ExternalData_3" connectionId="206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ExternalData_4" connectionId="256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ExternalData_30" connectionId="3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ExternalData_8" connectionId="274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ExternalData_19" connectionId="578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ExternalData_14" connectionId="400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1" connectionId="325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ExternalData_6" connectionId="260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ExternalData_5" connectionId="258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ExternalData_7" connectionId="263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ExternalData_26" connectionId="799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ExternalData_2" connectionId="15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ExternalData_16" connectionId="524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ExternalData_28" connectionId="126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ExternalData_29" connectionId="458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ExternalData_11" connectionId="305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22" connectionId="649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ExternalData_24" connectionId="701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ExternalData_27" connectionId="822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ExternalData_10" connectionId="282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ExternalData_9" connectionId="276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ExternalData_17" connectionId="538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ExternalData_25" connectionId="723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ExternalData_21" connectionId="641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ExternalData_20" connectionId="624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ExternalData_8" connectionId="526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ExternalData_4" connectionId="335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ExternalData_13" connectionId="650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ExternalData_10" connectionId="579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ExternalData_16" connectionId="800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ExternalData_1" connectionId="275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ExternalData_15" connectionId="702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ExternalData_3" connectionId="306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ExternalData_12" connectionId="643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ExternalData_9" connectionId="539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ExternalData_2" connectionId="28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ExternalData_5" connectionId="374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ExternalData_14" connectionId="662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ExternalData_6" connectionId="401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11" connectionId="625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ExternalData_7" connectionId="4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.xml"/><Relationship Id="rId13" Type="http://schemas.openxmlformats.org/officeDocument/2006/relationships/queryTable" Target="../queryTables/queryTable20.xml"/><Relationship Id="rId18" Type="http://schemas.openxmlformats.org/officeDocument/2006/relationships/queryTable" Target="../queryTables/queryTable25.xml"/><Relationship Id="rId26" Type="http://schemas.openxmlformats.org/officeDocument/2006/relationships/queryTable" Target="../queryTables/queryTable33.xml"/><Relationship Id="rId3" Type="http://schemas.openxmlformats.org/officeDocument/2006/relationships/queryTable" Target="../queryTables/queryTable10.xml"/><Relationship Id="rId21" Type="http://schemas.openxmlformats.org/officeDocument/2006/relationships/queryTable" Target="../queryTables/queryTable28.xml"/><Relationship Id="rId7" Type="http://schemas.openxmlformats.org/officeDocument/2006/relationships/queryTable" Target="../queryTables/queryTable14.xml"/><Relationship Id="rId12" Type="http://schemas.openxmlformats.org/officeDocument/2006/relationships/queryTable" Target="../queryTables/queryTable19.xml"/><Relationship Id="rId17" Type="http://schemas.openxmlformats.org/officeDocument/2006/relationships/queryTable" Target="../queryTables/queryTable24.xml"/><Relationship Id="rId25" Type="http://schemas.openxmlformats.org/officeDocument/2006/relationships/queryTable" Target="../queryTables/queryTable32.xml"/><Relationship Id="rId2" Type="http://schemas.openxmlformats.org/officeDocument/2006/relationships/queryTable" Target="../queryTables/queryTable9.xml"/><Relationship Id="rId16" Type="http://schemas.openxmlformats.org/officeDocument/2006/relationships/queryTable" Target="../queryTables/queryTable23.xml"/><Relationship Id="rId20" Type="http://schemas.openxmlformats.org/officeDocument/2006/relationships/queryTable" Target="../queryTables/queryTable27.xml"/><Relationship Id="rId1" Type="http://schemas.openxmlformats.org/officeDocument/2006/relationships/queryTable" Target="../queryTables/queryTable8.xml"/><Relationship Id="rId6" Type="http://schemas.openxmlformats.org/officeDocument/2006/relationships/queryTable" Target="../queryTables/queryTable13.xml"/><Relationship Id="rId11" Type="http://schemas.openxmlformats.org/officeDocument/2006/relationships/queryTable" Target="../queryTables/queryTable18.xml"/><Relationship Id="rId24" Type="http://schemas.openxmlformats.org/officeDocument/2006/relationships/queryTable" Target="../queryTables/queryTable31.xml"/><Relationship Id="rId5" Type="http://schemas.openxmlformats.org/officeDocument/2006/relationships/queryTable" Target="../queryTables/queryTable12.xml"/><Relationship Id="rId15" Type="http://schemas.openxmlformats.org/officeDocument/2006/relationships/queryTable" Target="../queryTables/queryTable22.xml"/><Relationship Id="rId23" Type="http://schemas.openxmlformats.org/officeDocument/2006/relationships/queryTable" Target="../queryTables/queryTable30.xml"/><Relationship Id="rId28" Type="http://schemas.openxmlformats.org/officeDocument/2006/relationships/queryTable" Target="../queryTables/queryTable35.xml"/><Relationship Id="rId10" Type="http://schemas.openxmlformats.org/officeDocument/2006/relationships/queryTable" Target="../queryTables/queryTable17.xml"/><Relationship Id="rId19" Type="http://schemas.openxmlformats.org/officeDocument/2006/relationships/queryTable" Target="../queryTables/queryTable26.xml"/><Relationship Id="rId4" Type="http://schemas.openxmlformats.org/officeDocument/2006/relationships/queryTable" Target="../queryTables/queryTable11.xml"/><Relationship Id="rId9" Type="http://schemas.openxmlformats.org/officeDocument/2006/relationships/queryTable" Target="../queryTables/queryTable16.xml"/><Relationship Id="rId14" Type="http://schemas.openxmlformats.org/officeDocument/2006/relationships/queryTable" Target="../queryTables/queryTable21.xml"/><Relationship Id="rId22" Type="http://schemas.openxmlformats.org/officeDocument/2006/relationships/queryTable" Target="../queryTables/queryTable29.xml"/><Relationship Id="rId27" Type="http://schemas.openxmlformats.org/officeDocument/2006/relationships/queryTable" Target="../queryTables/queryTable3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queryTable" Target="../queryTables/queryTable36.xml"/><Relationship Id="rId4" Type="http://schemas.openxmlformats.org/officeDocument/2006/relationships/queryTable" Target="../queryTables/queryTable3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queryTable" Target="../queryTables/queryTable40.xml"/><Relationship Id="rId4" Type="http://schemas.openxmlformats.org/officeDocument/2006/relationships/queryTable" Target="../queryTables/queryTable4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1.xml"/><Relationship Id="rId13" Type="http://schemas.openxmlformats.org/officeDocument/2006/relationships/queryTable" Target="../queryTables/queryTable56.xml"/><Relationship Id="rId3" Type="http://schemas.openxmlformats.org/officeDocument/2006/relationships/queryTable" Target="../queryTables/queryTable46.xml"/><Relationship Id="rId7" Type="http://schemas.openxmlformats.org/officeDocument/2006/relationships/queryTable" Target="../queryTables/queryTable50.xml"/><Relationship Id="rId12" Type="http://schemas.openxmlformats.org/officeDocument/2006/relationships/queryTable" Target="../queryTables/queryTable55.xml"/><Relationship Id="rId2" Type="http://schemas.openxmlformats.org/officeDocument/2006/relationships/queryTable" Target="../queryTables/queryTable45.xml"/><Relationship Id="rId1" Type="http://schemas.openxmlformats.org/officeDocument/2006/relationships/queryTable" Target="../queryTables/queryTable44.xml"/><Relationship Id="rId6" Type="http://schemas.openxmlformats.org/officeDocument/2006/relationships/queryTable" Target="../queryTables/queryTable49.xml"/><Relationship Id="rId11" Type="http://schemas.openxmlformats.org/officeDocument/2006/relationships/queryTable" Target="../queryTables/queryTable54.xml"/><Relationship Id="rId5" Type="http://schemas.openxmlformats.org/officeDocument/2006/relationships/queryTable" Target="../queryTables/queryTable48.xml"/><Relationship Id="rId10" Type="http://schemas.openxmlformats.org/officeDocument/2006/relationships/queryTable" Target="../queryTables/queryTable53.xml"/><Relationship Id="rId4" Type="http://schemas.openxmlformats.org/officeDocument/2006/relationships/queryTable" Target="../queryTables/queryTable47.xml"/><Relationship Id="rId9" Type="http://schemas.openxmlformats.org/officeDocument/2006/relationships/queryTable" Target="../queryTables/queryTable5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4.xml"/><Relationship Id="rId3" Type="http://schemas.openxmlformats.org/officeDocument/2006/relationships/queryTable" Target="../queryTables/queryTable59.xml"/><Relationship Id="rId7" Type="http://schemas.openxmlformats.org/officeDocument/2006/relationships/queryTable" Target="../queryTables/queryTable63.xml"/><Relationship Id="rId2" Type="http://schemas.openxmlformats.org/officeDocument/2006/relationships/queryTable" Target="../queryTables/queryTable58.xml"/><Relationship Id="rId1" Type="http://schemas.openxmlformats.org/officeDocument/2006/relationships/queryTable" Target="../queryTables/queryTable57.xml"/><Relationship Id="rId6" Type="http://schemas.openxmlformats.org/officeDocument/2006/relationships/queryTable" Target="../queryTables/queryTable62.xml"/><Relationship Id="rId11" Type="http://schemas.openxmlformats.org/officeDocument/2006/relationships/queryTable" Target="../queryTables/queryTable67.xml"/><Relationship Id="rId5" Type="http://schemas.openxmlformats.org/officeDocument/2006/relationships/queryTable" Target="../queryTables/queryTable61.xml"/><Relationship Id="rId10" Type="http://schemas.openxmlformats.org/officeDocument/2006/relationships/queryTable" Target="../queryTables/queryTable66.xml"/><Relationship Id="rId4" Type="http://schemas.openxmlformats.org/officeDocument/2006/relationships/queryTable" Target="../queryTables/queryTable60.xml"/><Relationship Id="rId9" Type="http://schemas.openxmlformats.org/officeDocument/2006/relationships/queryTable" Target="../queryTables/queryTable6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queryTable" Target="../queryTables/queryTable68.xml"/><Relationship Id="rId4" Type="http://schemas.openxmlformats.org/officeDocument/2006/relationships/queryTable" Target="../queryTables/queryTable7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7.xml"/><Relationship Id="rId18" Type="http://schemas.openxmlformats.org/officeDocument/2006/relationships/queryTable" Target="../queryTables/queryTable92.xml"/><Relationship Id="rId26" Type="http://schemas.openxmlformats.org/officeDocument/2006/relationships/queryTable" Target="../queryTables/queryTable100.xml"/><Relationship Id="rId39" Type="http://schemas.openxmlformats.org/officeDocument/2006/relationships/queryTable" Target="../queryTables/queryTable113.xml"/><Relationship Id="rId3" Type="http://schemas.openxmlformats.org/officeDocument/2006/relationships/queryTable" Target="../queryTables/queryTable77.xml"/><Relationship Id="rId21" Type="http://schemas.openxmlformats.org/officeDocument/2006/relationships/queryTable" Target="../queryTables/queryTable95.xml"/><Relationship Id="rId34" Type="http://schemas.openxmlformats.org/officeDocument/2006/relationships/queryTable" Target="../queryTables/queryTable108.xml"/><Relationship Id="rId42" Type="http://schemas.openxmlformats.org/officeDocument/2006/relationships/queryTable" Target="../queryTables/queryTable116.xml"/><Relationship Id="rId47" Type="http://schemas.openxmlformats.org/officeDocument/2006/relationships/queryTable" Target="../queryTables/queryTable121.xml"/><Relationship Id="rId50" Type="http://schemas.openxmlformats.org/officeDocument/2006/relationships/queryTable" Target="../queryTables/queryTable124.xml"/><Relationship Id="rId7" Type="http://schemas.openxmlformats.org/officeDocument/2006/relationships/queryTable" Target="../queryTables/queryTable81.xml"/><Relationship Id="rId12" Type="http://schemas.openxmlformats.org/officeDocument/2006/relationships/queryTable" Target="../queryTables/queryTable86.xml"/><Relationship Id="rId17" Type="http://schemas.openxmlformats.org/officeDocument/2006/relationships/queryTable" Target="../queryTables/queryTable91.xml"/><Relationship Id="rId25" Type="http://schemas.openxmlformats.org/officeDocument/2006/relationships/queryTable" Target="../queryTables/queryTable99.xml"/><Relationship Id="rId33" Type="http://schemas.openxmlformats.org/officeDocument/2006/relationships/queryTable" Target="../queryTables/queryTable107.xml"/><Relationship Id="rId38" Type="http://schemas.openxmlformats.org/officeDocument/2006/relationships/queryTable" Target="../queryTables/queryTable112.xml"/><Relationship Id="rId46" Type="http://schemas.openxmlformats.org/officeDocument/2006/relationships/queryTable" Target="../queryTables/queryTable120.xml"/><Relationship Id="rId2" Type="http://schemas.openxmlformats.org/officeDocument/2006/relationships/queryTable" Target="../queryTables/queryTable76.xml"/><Relationship Id="rId16" Type="http://schemas.openxmlformats.org/officeDocument/2006/relationships/queryTable" Target="../queryTables/queryTable90.xml"/><Relationship Id="rId20" Type="http://schemas.openxmlformats.org/officeDocument/2006/relationships/queryTable" Target="../queryTables/queryTable94.xml"/><Relationship Id="rId29" Type="http://schemas.openxmlformats.org/officeDocument/2006/relationships/queryTable" Target="../queryTables/queryTable103.xml"/><Relationship Id="rId41" Type="http://schemas.openxmlformats.org/officeDocument/2006/relationships/queryTable" Target="../queryTables/queryTable115.xml"/><Relationship Id="rId1" Type="http://schemas.openxmlformats.org/officeDocument/2006/relationships/queryTable" Target="../queryTables/queryTable75.xml"/><Relationship Id="rId6" Type="http://schemas.openxmlformats.org/officeDocument/2006/relationships/queryTable" Target="../queryTables/queryTable80.xml"/><Relationship Id="rId11" Type="http://schemas.openxmlformats.org/officeDocument/2006/relationships/queryTable" Target="../queryTables/queryTable85.xml"/><Relationship Id="rId24" Type="http://schemas.openxmlformats.org/officeDocument/2006/relationships/queryTable" Target="../queryTables/queryTable98.xml"/><Relationship Id="rId32" Type="http://schemas.openxmlformats.org/officeDocument/2006/relationships/queryTable" Target="../queryTables/queryTable106.xml"/><Relationship Id="rId37" Type="http://schemas.openxmlformats.org/officeDocument/2006/relationships/queryTable" Target="../queryTables/queryTable111.xml"/><Relationship Id="rId40" Type="http://schemas.openxmlformats.org/officeDocument/2006/relationships/queryTable" Target="../queryTables/queryTable114.xml"/><Relationship Id="rId45" Type="http://schemas.openxmlformats.org/officeDocument/2006/relationships/queryTable" Target="../queryTables/queryTable119.xml"/><Relationship Id="rId5" Type="http://schemas.openxmlformats.org/officeDocument/2006/relationships/queryTable" Target="../queryTables/queryTable79.xml"/><Relationship Id="rId15" Type="http://schemas.openxmlformats.org/officeDocument/2006/relationships/queryTable" Target="../queryTables/queryTable89.xml"/><Relationship Id="rId23" Type="http://schemas.openxmlformats.org/officeDocument/2006/relationships/queryTable" Target="../queryTables/queryTable97.xml"/><Relationship Id="rId28" Type="http://schemas.openxmlformats.org/officeDocument/2006/relationships/queryTable" Target="../queryTables/queryTable102.xml"/><Relationship Id="rId36" Type="http://schemas.openxmlformats.org/officeDocument/2006/relationships/queryTable" Target="../queryTables/queryTable110.xml"/><Relationship Id="rId49" Type="http://schemas.openxmlformats.org/officeDocument/2006/relationships/queryTable" Target="../queryTables/queryTable123.xml"/><Relationship Id="rId10" Type="http://schemas.openxmlformats.org/officeDocument/2006/relationships/queryTable" Target="../queryTables/queryTable84.xml"/><Relationship Id="rId19" Type="http://schemas.openxmlformats.org/officeDocument/2006/relationships/queryTable" Target="../queryTables/queryTable93.xml"/><Relationship Id="rId31" Type="http://schemas.openxmlformats.org/officeDocument/2006/relationships/queryTable" Target="../queryTables/queryTable105.xml"/><Relationship Id="rId44" Type="http://schemas.openxmlformats.org/officeDocument/2006/relationships/queryTable" Target="../queryTables/queryTable118.xml"/><Relationship Id="rId4" Type="http://schemas.openxmlformats.org/officeDocument/2006/relationships/queryTable" Target="../queryTables/queryTable78.xml"/><Relationship Id="rId9" Type="http://schemas.openxmlformats.org/officeDocument/2006/relationships/queryTable" Target="../queryTables/queryTable83.xml"/><Relationship Id="rId14" Type="http://schemas.openxmlformats.org/officeDocument/2006/relationships/queryTable" Target="../queryTables/queryTable88.xml"/><Relationship Id="rId22" Type="http://schemas.openxmlformats.org/officeDocument/2006/relationships/queryTable" Target="../queryTables/queryTable96.xml"/><Relationship Id="rId27" Type="http://schemas.openxmlformats.org/officeDocument/2006/relationships/queryTable" Target="../queryTables/queryTable101.xml"/><Relationship Id="rId30" Type="http://schemas.openxmlformats.org/officeDocument/2006/relationships/queryTable" Target="../queryTables/queryTable104.xml"/><Relationship Id="rId35" Type="http://schemas.openxmlformats.org/officeDocument/2006/relationships/queryTable" Target="../queryTables/queryTable109.xml"/><Relationship Id="rId43" Type="http://schemas.openxmlformats.org/officeDocument/2006/relationships/queryTable" Target="../queryTables/queryTable117.xml"/><Relationship Id="rId48" Type="http://schemas.openxmlformats.org/officeDocument/2006/relationships/queryTable" Target="../queryTables/queryTable122.xml"/><Relationship Id="rId8" Type="http://schemas.openxmlformats.org/officeDocument/2006/relationships/queryTable" Target="../queryTables/queryTable82.xml"/><Relationship Id="rId51" Type="http://schemas.openxmlformats.org/officeDocument/2006/relationships/queryTable" Target="../queryTables/queryTable125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8.xml"/><Relationship Id="rId18" Type="http://schemas.openxmlformats.org/officeDocument/2006/relationships/queryTable" Target="../queryTables/queryTable143.xml"/><Relationship Id="rId26" Type="http://schemas.openxmlformats.org/officeDocument/2006/relationships/queryTable" Target="../queryTables/queryTable151.xml"/><Relationship Id="rId39" Type="http://schemas.openxmlformats.org/officeDocument/2006/relationships/queryTable" Target="../queryTables/queryTable164.xml"/><Relationship Id="rId3" Type="http://schemas.openxmlformats.org/officeDocument/2006/relationships/queryTable" Target="../queryTables/queryTable128.xml"/><Relationship Id="rId21" Type="http://schemas.openxmlformats.org/officeDocument/2006/relationships/queryTable" Target="../queryTables/queryTable146.xml"/><Relationship Id="rId34" Type="http://schemas.openxmlformats.org/officeDocument/2006/relationships/queryTable" Target="../queryTables/queryTable159.xml"/><Relationship Id="rId42" Type="http://schemas.openxmlformats.org/officeDocument/2006/relationships/queryTable" Target="../queryTables/queryTable167.xml"/><Relationship Id="rId47" Type="http://schemas.openxmlformats.org/officeDocument/2006/relationships/queryTable" Target="../queryTables/queryTable172.xml"/><Relationship Id="rId50" Type="http://schemas.openxmlformats.org/officeDocument/2006/relationships/queryTable" Target="../queryTables/queryTable175.xml"/><Relationship Id="rId7" Type="http://schemas.openxmlformats.org/officeDocument/2006/relationships/queryTable" Target="../queryTables/queryTable132.xml"/><Relationship Id="rId12" Type="http://schemas.openxmlformats.org/officeDocument/2006/relationships/queryTable" Target="../queryTables/queryTable137.xml"/><Relationship Id="rId17" Type="http://schemas.openxmlformats.org/officeDocument/2006/relationships/queryTable" Target="../queryTables/queryTable142.xml"/><Relationship Id="rId25" Type="http://schemas.openxmlformats.org/officeDocument/2006/relationships/queryTable" Target="../queryTables/queryTable150.xml"/><Relationship Id="rId33" Type="http://schemas.openxmlformats.org/officeDocument/2006/relationships/queryTable" Target="../queryTables/queryTable158.xml"/><Relationship Id="rId38" Type="http://schemas.openxmlformats.org/officeDocument/2006/relationships/queryTable" Target="../queryTables/queryTable163.xml"/><Relationship Id="rId46" Type="http://schemas.openxmlformats.org/officeDocument/2006/relationships/queryTable" Target="../queryTables/queryTable171.xml"/><Relationship Id="rId2" Type="http://schemas.openxmlformats.org/officeDocument/2006/relationships/queryTable" Target="../queryTables/queryTable127.xml"/><Relationship Id="rId16" Type="http://schemas.openxmlformats.org/officeDocument/2006/relationships/queryTable" Target="../queryTables/queryTable141.xml"/><Relationship Id="rId20" Type="http://schemas.openxmlformats.org/officeDocument/2006/relationships/queryTable" Target="../queryTables/queryTable145.xml"/><Relationship Id="rId29" Type="http://schemas.openxmlformats.org/officeDocument/2006/relationships/queryTable" Target="../queryTables/queryTable154.xml"/><Relationship Id="rId41" Type="http://schemas.openxmlformats.org/officeDocument/2006/relationships/queryTable" Target="../queryTables/queryTable166.xml"/><Relationship Id="rId1" Type="http://schemas.openxmlformats.org/officeDocument/2006/relationships/queryTable" Target="../queryTables/queryTable126.xml"/><Relationship Id="rId6" Type="http://schemas.openxmlformats.org/officeDocument/2006/relationships/queryTable" Target="../queryTables/queryTable131.xml"/><Relationship Id="rId11" Type="http://schemas.openxmlformats.org/officeDocument/2006/relationships/queryTable" Target="../queryTables/queryTable136.xml"/><Relationship Id="rId24" Type="http://schemas.openxmlformats.org/officeDocument/2006/relationships/queryTable" Target="../queryTables/queryTable149.xml"/><Relationship Id="rId32" Type="http://schemas.openxmlformats.org/officeDocument/2006/relationships/queryTable" Target="../queryTables/queryTable157.xml"/><Relationship Id="rId37" Type="http://schemas.openxmlformats.org/officeDocument/2006/relationships/queryTable" Target="../queryTables/queryTable162.xml"/><Relationship Id="rId40" Type="http://schemas.openxmlformats.org/officeDocument/2006/relationships/queryTable" Target="../queryTables/queryTable165.xml"/><Relationship Id="rId45" Type="http://schemas.openxmlformats.org/officeDocument/2006/relationships/queryTable" Target="../queryTables/queryTable170.xml"/><Relationship Id="rId53" Type="http://schemas.openxmlformats.org/officeDocument/2006/relationships/queryTable" Target="../queryTables/queryTable178.xml"/><Relationship Id="rId5" Type="http://schemas.openxmlformats.org/officeDocument/2006/relationships/queryTable" Target="../queryTables/queryTable130.xml"/><Relationship Id="rId15" Type="http://schemas.openxmlformats.org/officeDocument/2006/relationships/queryTable" Target="../queryTables/queryTable140.xml"/><Relationship Id="rId23" Type="http://schemas.openxmlformats.org/officeDocument/2006/relationships/queryTable" Target="../queryTables/queryTable148.xml"/><Relationship Id="rId28" Type="http://schemas.openxmlformats.org/officeDocument/2006/relationships/queryTable" Target="../queryTables/queryTable153.xml"/><Relationship Id="rId36" Type="http://schemas.openxmlformats.org/officeDocument/2006/relationships/queryTable" Target="../queryTables/queryTable161.xml"/><Relationship Id="rId49" Type="http://schemas.openxmlformats.org/officeDocument/2006/relationships/queryTable" Target="../queryTables/queryTable174.xml"/><Relationship Id="rId10" Type="http://schemas.openxmlformats.org/officeDocument/2006/relationships/queryTable" Target="../queryTables/queryTable135.xml"/><Relationship Id="rId19" Type="http://schemas.openxmlformats.org/officeDocument/2006/relationships/queryTable" Target="../queryTables/queryTable144.xml"/><Relationship Id="rId31" Type="http://schemas.openxmlformats.org/officeDocument/2006/relationships/queryTable" Target="../queryTables/queryTable156.xml"/><Relationship Id="rId44" Type="http://schemas.openxmlformats.org/officeDocument/2006/relationships/queryTable" Target="../queryTables/queryTable169.xml"/><Relationship Id="rId52" Type="http://schemas.openxmlformats.org/officeDocument/2006/relationships/queryTable" Target="../queryTables/queryTable177.xml"/><Relationship Id="rId4" Type="http://schemas.openxmlformats.org/officeDocument/2006/relationships/queryTable" Target="../queryTables/queryTable129.xml"/><Relationship Id="rId9" Type="http://schemas.openxmlformats.org/officeDocument/2006/relationships/queryTable" Target="../queryTables/queryTable134.xml"/><Relationship Id="rId14" Type="http://schemas.openxmlformats.org/officeDocument/2006/relationships/queryTable" Target="../queryTables/queryTable139.xml"/><Relationship Id="rId22" Type="http://schemas.openxmlformats.org/officeDocument/2006/relationships/queryTable" Target="../queryTables/queryTable147.xml"/><Relationship Id="rId27" Type="http://schemas.openxmlformats.org/officeDocument/2006/relationships/queryTable" Target="../queryTables/queryTable152.xml"/><Relationship Id="rId30" Type="http://schemas.openxmlformats.org/officeDocument/2006/relationships/queryTable" Target="../queryTables/queryTable155.xml"/><Relationship Id="rId35" Type="http://schemas.openxmlformats.org/officeDocument/2006/relationships/queryTable" Target="../queryTables/queryTable160.xml"/><Relationship Id="rId43" Type="http://schemas.openxmlformats.org/officeDocument/2006/relationships/queryTable" Target="../queryTables/queryTable168.xml"/><Relationship Id="rId48" Type="http://schemas.openxmlformats.org/officeDocument/2006/relationships/queryTable" Target="../queryTables/queryTable173.xml"/><Relationship Id="rId8" Type="http://schemas.openxmlformats.org/officeDocument/2006/relationships/queryTable" Target="../queryTables/queryTable133.xml"/><Relationship Id="rId51" Type="http://schemas.openxmlformats.org/officeDocument/2006/relationships/queryTable" Target="../queryTables/queryTable17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6.xml"/><Relationship Id="rId13" Type="http://schemas.openxmlformats.org/officeDocument/2006/relationships/queryTable" Target="../queryTables/queryTable191.xml"/><Relationship Id="rId18" Type="http://schemas.openxmlformats.org/officeDocument/2006/relationships/queryTable" Target="../queryTables/queryTable196.xml"/><Relationship Id="rId26" Type="http://schemas.openxmlformats.org/officeDocument/2006/relationships/queryTable" Target="../queryTables/queryTable204.xml"/><Relationship Id="rId39" Type="http://schemas.openxmlformats.org/officeDocument/2006/relationships/queryTable" Target="../queryTables/queryTable217.xml"/><Relationship Id="rId3" Type="http://schemas.openxmlformats.org/officeDocument/2006/relationships/queryTable" Target="../queryTables/queryTable181.xml"/><Relationship Id="rId21" Type="http://schemas.openxmlformats.org/officeDocument/2006/relationships/queryTable" Target="../queryTables/queryTable199.xml"/><Relationship Id="rId34" Type="http://schemas.openxmlformats.org/officeDocument/2006/relationships/queryTable" Target="../queryTables/queryTable212.xml"/><Relationship Id="rId7" Type="http://schemas.openxmlformats.org/officeDocument/2006/relationships/queryTable" Target="../queryTables/queryTable185.xml"/><Relationship Id="rId12" Type="http://schemas.openxmlformats.org/officeDocument/2006/relationships/queryTable" Target="../queryTables/queryTable190.xml"/><Relationship Id="rId17" Type="http://schemas.openxmlformats.org/officeDocument/2006/relationships/queryTable" Target="../queryTables/queryTable195.xml"/><Relationship Id="rId25" Type="http://schemas.openxmlformats.org/officeDocument/2006/relationships/queryTable" Target="../queryTables/queryTable203.xml"/><Relationship Id="rId33" Type="http://schemas.openxmlformats.org/officeDocument/2006/relationships/queryTable" Target="../queryTables/queryTable211.xml"/><Relationship Id="rId38" Type="http://schemas.openxmlformats.org/officeDocument/2006/relationships/queryTable" Target="../queryTables/queryTable216.xml"/><Relationship Id="rId2" Type="http://schemas.openxmlformats.org/officeDocument/2006/relationships/queryTable" Target="../queryTables/queryTable180.xml"/><Relationship Id="rId16" Type="http://schemas.openxmlformats.org/officeDocument/2006/relationships/queryTable" Target="../queryTables/queryTable194.xml"/><Relationship Id="rId20" Type="http://schemas.openxmlformats.org/officeDocument/2006/relationships/queryTable" Target="../queryTables/queryTable198.xml"/><Relationship Id="rId29" Type="http://schemas.openxmlformats.org/officeDocument/2006/relationships/queryTable" Target="../queryTables/queryTable207.xml"/><Relationship Id="rId1" Type="http://schemas.openxmlformats.org/officeDocument/2006/relationships/queryTable" Target="../queryTables/queryTable179.xml"/><Relationship Id="rId6" Type="http://schemas.openxmlformats.org/officeDocument/2006/relationships/queryTable" Target="../queryTables/queryTable184.xml"/><Relationship Id="rId11" Type="http://schemas.openxmlformats.org/officeDocument/2006/relationships/queryTable" Target="../queryTables/queryTable189.xml"/><Relationship Id="rId24" Type="http://schemas.openxmlformats.org/officeDocument/2006/relationships/queryTable" Target="../queryTables/queryTable202.xml"/><Relationship Id="rId32" Type="http://schemas.openxmlformats.org/officeDocument/2006/relationships/queryTable" Target="../queryTables/queryTable210.xml"/><Relationship Id="rId37" Type="http://schemas.openxmlformats.org/officeDocument/2006/relationships/queryTable" Target="../queryTables/queryTable215.xml"/><Relationship Id="rId5" Type="http://schemas.openxmlformats.org/officeDocument/2006/relationships/queryTable" Target="../queryTables/queryTable183.xml"/><Relationship Id="rId15" Type="http://schemas.openxmlformats.org/officeDocument/2006/relationships/queryTable" Target="../queryTables/queryTable193.xml"/><Relationship Id="rId23" Type="http://schemas.openxmlformats.org/officeDocument/2006/relationships/queryTable" Target="../queryTables/queryTable201.xml"/><Relationship Id="rId28" Type="http://schemas.openxmlformats.org/officeDocument/2006/relationships/queryTable" Target="../queryTables/queryTable206.xml"/><Relationship Id="rId36" Type="http://schemas.openxmlformats.org/officeDocument/2006/relationships/queryTable" Target="../queryTables/queryTable214.xml"/><Relationship Id="rId10" Type="http://schemas.openxmlformats.org/officeDocument/2006/relationships/queryTable" Target="../queryTables/queryTable188.xml"/><Relationship Id="rId19" Type="http://schemas.openxmlformats.org/officeDocument/2006/relationships/queryTable" Target="../queryTables/queryTable197.xml"/><Relationship Id="rId31" Type="http://schemas.openxmlformats.org/officeDocument/2006/relationships/queryTable" Target="../queryTables/queryTable209.xml"/><Relationship Id="rId4" Type="http://schemas.openxmlformats.org/officeDocument/2006/relationships/queryTable" Target="../queryTables/queryTable182.xml"/><Relationship Id="rId9" Type="http://schemas.openxmlformats.org/officeDocument/2006/relationships/queryTable" Target="../queryTables/queryTable187.xml"/><Relationship Id="rId14" Type="http://schemas.openxmlformats.org/officeDocument/2006/relationships/queryTable" Target="../queryTables/queryTable192.xml"/><Relationship Id="rId22" Type="http://schemas.openxmlformats.org/officeDocument/2006/relationships/queryTable" Target="../queryTables/queryTable200.xml"/><Relationship Id="rId27" Type="http://schemas.openxmlformats.org/officeDocument/2006/relationships/queryTable" Target="../queryTables/queryTable205.xml"/><Relationship Id="rId30" Type="http://schemas.openxmlformats.org/officeDocument/2006/relationships/queryTable" Target="../queryTables/queryTable208.xml"/><Relationship Id="rId35" Type="http://schemas.openxmlformats.org/officeDocument/2006/relationships/queryTable" Target="../queryTables/queryTable213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30.xml"/><Relationship Id="rId18" Type="http://schemas.openxmlformats.org/officeDocument/2006/relationships/queryTable" Target="../queryTables/queryTable235.xml"/><Relationship Id="rId26" Type="http://schemas.openxmlformats.org/officeDocument/2006/relationships/queryTable" Target="../queryTables/queryTable243.xml"/><Relationship Id="rId39" Type="http://schemas.openxmlformats.org/officeDocument/2006/relationships/queryTable" Target="../queryTables/queryTable256.xml"/><Relationship Id="rId3" Type="http://schemas.openxmlformats.org/officeDocument/2006/relationships/queryTable" Target="../queryTables/queryTable220.xml"/><Relationship Id="rId21" Type="http://schemas.openxmlformats.org/officeDocument/2006/relationships/queryTable" Target="../queryTables/queryTable238.xml"/><Relationship Id="rId34" Type="http://schemas.openxmlformats.org/officeDocument/2006/relationships/queryTable" Target="../queryTables/queryTable251.xml"/><Relationship Id="rId42" Type="http://schemas.openxmlformats.org/officeDocument/2006/relationships/queryTable" Target="../queryTables/queryTable259.xml"/><Relationship Id="rId47" Type="http://schemas.openxmlformats.org/officeDocument/2006/relationships/queryTable" Target="../queryTables/queryTable264.xml"/><Relationship Id="rId50" Type="http://schemas.openxmlformats.org/officeDocument/2006/relationships/queryTable" Target="../queryTables/queryTable267.xml"/><Relationship Id="rId7" Type="http://schemas.openxmlformats.org/officeDocument/2006/relationships/queryTable" Target="../queryTables/queryTable224.xml"/><Relationship Id="rId12" Type="http://schemas.openxmlformats.org/officeDocument/2006/relationships/queryTable" Target="../queryTables/queryTable229.xml"/><Relationship Id="rId17" Type="http://schemas.openxmlformats.org/officeDocument/2006/relationships/queryTable" Target="../queryTables/queryTable234.xml"/><Relationship Id="rId25" Type="http://schemas.openxmlformats.org/officeDocument/2006/relationships/queryTable" Target="../queryTables/queryTable242.xml"/><Relationship Id="rId33" Type="http://schemas.openxmlformats.org/officeDocument/2006/relationships/queryTable" Target="../queryTables/queryTable250.xml"/><Relationship Id="rId38" Type="http://schemas.openxmlformats.org/officeDocument/2006/relationships/queryTable" Target="../queryTables/queryTable255.xml"/><Relationship Id="rId46" Type="http://schemas.openxmlformats.org/officeDocument/2006/relationships/queryTable" Target="../queryTables/queryTable263.xml"/><Relationship Id="rId2" Type="http://schemas.openxmlformats.org/officeDocument/2006/relationships/queryTable" Target="../queryTables/queryTable219.xml"/><Relationship Id="rId16" Type="http://schemas.openxmlformats.org/officeDocument/2006/relationships/queryTable" Target="../queryTables/queryTable233.xml"/><Relationship Id="rId20" Type="http://schemas.openxmlformats.org/officeDocument/2006/relationships/queryTable" Target="../queryTables/queryTable237.xml"/><Relationship Id="rId29" Type="http://schemas.openxmlformats.org/officeDocument/2006/relationships/queryTable" Target="../queryTables/queryTable246.xml"/><Relationship Id="rId41" Type="http://schemas.openxmlformats.org/officeDocument/2006/relationships/queryTable" Target="../queryTables/queryTable258.xml"/><Relationship Id="rId1" Type="http://schemas.openxmlformats.org/officeDocument/2006/relationships/queryTable" Target="../queryTables/queryTable218.xml"/><Relationship Id="rId6" Type="http://schemas.openxmlformats.org/officeDocument/2006/relationships/queryTable" Target="../queryTables/queryTable223.xml"/><Relationship Id="rId11" Type="http://schemas.openxmlformats.org/officeDocument/2006/relationships/queryTable" Target="../queryTables/queryTable228.xml"/><Relationship Id="rId24" Type="http://schemas.openxmlformats.org/officeDocument/2006/relationships/queryTable" Target="../queryTables/queryTable241.xml"/><Relationship Id="rId32" Type="http://schemas.openxmlformats.org/officeDocument/2006/relationships/queryTable" Target="../queryTables/queryTable249.xml"/><Relationship Id="rId37" Type="http://schemas.openxmlformats.org/officeDocument/2006/relationships/queryTable" Target="../queryTables/queryTable254.xml"/><Relationship Id="rId40" Type="http://schemas.openxmlformats.org/officeDocument/2006/relationships/queryTable" Target="../queryTables/queryTable257.xml"/><Relationship Id="rId45" Type="http://schemas.openxmlformats.org/officeDocument/2006/relationships/queryTable" Target="../queryTables/queryTable262.xml"/><Relationship Id="rId5" Type="http://schemas.openxmlformats.org/officeDocument/2006/relationships/queryTable" Target="../queryTables/queryTable222.xml"/><Relationship Id="rId15" Type="http://schemas.openxmlformats.org/officeDocument/2006/relationships/queryTable" Target="../queryTables/queryTable232.xml"/><Relationship Id="rId23" Type="http://schemas.openxmlformats.org/officeDocument/2006/relationships/queryTable" Target="../queryTables/queryTable240.xml"/><Relationship Id="rId28" Type="http://schemas.openxmlformats.org/officeDocument/2006/relationships/queryTable" Target="../queryTables/queryTable245.xml"/><Relationship Id="rId36" Type="http://schemas.openxmlformats.org/officeDocument/2006/relationships/queryTable" Target="../queryTables/queryTable253.xml"/><Relationship Id="rId49" Type="http://schemas.openxmlformats.org/officeDocument/2006/relationships/queryTable" Target="../queryTables/queryTable266.xml"/><Relationship Id="rId10" Type="http://schemas.openxmlformats.org/officeDocument/2006/relationships/queryTable" Target="../queryTables/queryTable227.xml"/><Relationship Id="rId19" Type="http://schemas.openxmlformats.org/officeDocument/2006/relationships/queryTable" Target="../queryTables/queryTable236.xml"/><Relationship Id="rId31" Type="http://schemas.openxmlformats.org/officeDocument/2006/relationships/queryTable" Target="../queryTables/queryTable248.xml"/><Relationship Id="rId44" Type="http://schemas.openxmlformats.org/officeDocument/2006/relationships/queryTable" Target="../queryTables/queryTable261.xml"/><Relationship Id="rId4" Type="http://schemas.openxmlformats.org/officeDocument/2006/relationships/queryTable" Target="../queryTables/queryTable221.xml"/><Relationship Id="rId9" Type="http://schemas.openxmlformats.org/officeDocument/2006/relationships/queryTable" Target="../queryTables/queryTable226.xml"/><Relationship Id="rId14" Type="http://schemas.openxmlformats.org/officeDocument/2006/relationships/queryTable" Target="../queryTables/queryTable231.xml"/><Relationship Id="rId22" Type="http://schemas.openxmlformats.org/officeDocument/2006/relationships/queryTable" Target="../queryTables/queryTable239.xml"/><Relationship Id="rId27" Type="http://schemas.openxmlformats.org/officeDocument/2006/relationships/queryTable" Target="../queryTables/queryTable244.xml"/><Relationship Id="rId30" Type="http://schemas.openxmlformats.org/officeDocument/2006/relationships/queryTable" Target="../queryTables/queryTable247.xml"/><Relationship Id="rId35" Type="http://schemas.openxmlformats.org/officeDocument/2006/relationships/queryTable" Target="../queryTables/queryTable252.xml"/><Relationship Id="rId43" Type="http://schemas.openxmlformats.org/officeDocument/2006/relationships/queryTable" Target="../queryTables/queryTable260.xml"/><Relationship Id="rId48" Type="http://schemas.openxmlformats.org/officeDocument/2006/relationships/queryTable" Target="../queryTables/queryTable265.xml"/><Relationship Id="rId8" Type="http://schemas.openxmlformats.org/officeDocument/2006/relationships/queryTable" Target="../queryTables/queryTable225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75.xml"/><Relationship Id="rId13" Type="http://schemas.openxmlformats.org/officeDocument/2006/relationships/queryTable" Target="../queryTables/queryTable280.xml"/><Relationship Id="rId18" Type="http://schemas.openxmlformats.org/officeDocument/2006/relationships/queryTable" Target="../queryTables/queryTable285.xml"/><Relationship Id="rId26" Type="http://schemas.openxmlformats.org/officeDocument/2006/relationships/queryTable" Target="../queryTables/queryTable293.xml"/><Relationship Id="rId39" Type="http://schemas.openxmlformats.org/officeDocument/2006/relationships/queryTable" Target="../queryTables/queryTable306.xml"/><Relationship Id="rId3" Type="http://schemas.openxmlformats.org/officeDocument/2006/relationships/queryTable" Target="../queryTables/queryTable270.xml"/><Relationship Id="rId21" Type="http://schemas.openxmlformats.org/officeDocument/2006/relationships/queryTable" Target="../queryTables/queryTable288.xml"/><Relationship Id="rId34" Type="http://schemas.openxmlformats.org/officeDocument/2006/relationships/queryTable" Target="../queryTables/queryTable301.xml"/><Relationship Id="rId7" Type="http://schemas.openxmlformats.org/officeDocument/2006/relationships/queryTable" Target="../queryTables/queryTable274.xml"/><Relationship Id="rId12" Type="http://schemas.openxmlformats.org/officeDocument/2006/relationships/queryTable" Target="../queryTables/queryTable279.xml"/><Relationship Id="rId17" Type="http://schemas.openxmlformats.org/officeDocument/2006/relationships/queryTable" Target="../queryTables/queryTable284.xml"/><Relationship Id="rId25" Type="http://schemas.openxmlformats.org/officeDocument/2006/relationships/queryTable" Target="../queryTables/queryTable292.xml"/><Relationship Id="rId33" Type="http://schemas.openxmlformats.org/officeDocument/2006/relationships/queryTable" Target="../queryTables/queryTable300.xml"/><Relationship Id="rId38" Type="http://schemas.openxmlformats.org/officeDocument/2006/relationships/queryTable" Target="../queryTables/queryTable305.xml"/><Relationship Id="rId2" Type="http://schemas.openxmlformats.org/officeDocument/2006/relationships/queryTable" Target="../queryTables/queryTable269.xml"/><Relationship Id="rId16" Type="http://schemas.openxmlformats.org/officeDocument/2006/relationships/queryTable" Target="../queryTables/queryTable283.xml"/><Relationship Id="rId20" Type="http://schemas.openxmlformats.org/officeDocument/2006/relationships/queryTable" Target="../queryTables/queryTable287.xml"/><Relationship Id="rId29" Type="http://schemas.openxmlformats.org/officeDocument/2006/relationships/queryTable" Target="../queryTables/queryTable296.xml"/><Relationship Id="rId1" Type="http://schemas.openxmlformats.org/officeDocument/2006/relationships/queryTable" Target="../queryTables/queryTable268.xml"/><Relationship Id="rId6" Type="http://schemas.openxmlformats.org/officeDocument/2006/relationships/queryTable" Target="../queryTables/queryTable273.xml"/><Relationship Id="rId11" Type="http://schemas.openxmlformats.org/officeDocument/2006/relationships/queryTable" Target="../queryTables/queryTable278.xml"/><Relationship Id="rId24" Type="http://schemas.openxmlformats.org/officeDocument/2006/relationships/queryTable" Target="../queryTables/queryTable291.xml"/><Relationship Id="rId32" Type="http://schemas.openxmlformats.org/officeDocument/2006/relationships/queryTable" Target="../queryTables/queryTable299.xml"/><Relationship Id="rId37" Type="http://schemas.openxmlformats.org/officeDocument/2006/relationships/queryTable" Target="../queryTables/queryTable304.xml"/><Relationship Id="rId40" Type="http://schemas.openxmlformats.org/officeDocument/2006/relationships/queryTable" Target="../queryTables/queryTable307.xml"/><Relationship Id="rId5" Type="http://schemas.openxmlformats.org/officeDocument/2006/relationships/queryTable" Target="../queryTables/queryTable272.xml"/><Relationship Id="rId15" Type="http://schemas.openxmlformats.org/officeDocument/2006/relationships/queryTable" Target="../queryTables/queryTable282.xml"/><Relationship Id="rId23" Type="http://schemas.openxmlformats.org/officeDocument/2006/relationships/queryTable" Target="../queryTables/queryTable290.xml"/><Relationship Id="rId28" Type="http://schemas.openxmlformats.org/officeDocument/2006/relationships/queryTable" Target="../queryTables/queryTable295.xml"/><Relationship Id="rId36" Type="http://schemas.openxmlformats.org/officeDocument/2006/relationships/queryTable" Target="../queryTables/queryTable303.xml"/><Relationship Id="rId10" Type="http://schemas.openxmlformats.org/officeDocument/2006/relationships/queryTable" Target="../queryTables/queryTable277.xml"/><Relationship Id="rId19" Type="http://schemas.openxmlformats.org/officeDocument/2006/relationships/queryTable" Target="../queryTables/queryTable286.xml"/><Relationship Id="rId31" Type="http://schemas.openxmlformats.org/officeDocument/2006/relationships/queryTable" Target="../queryTables/queryTable298.xml"/><Relationship Id="rId4" Type="http://schemas.openxmlformats.org/officeDocument/2006/relationships/queryTable" Target="../queryTables/queryTable271.xml"/><Relationship Id="rId9" Type="http://schemas.openxmlformats.org/officeDocument/2006/relationships/queryTable" Target="../queryTables/queryTable276.xml"/><Relationship Id="rId14" Type="http://schemas.openxmlformats.org/officeDocument/2006/relationships/queryTable" Target="../queryTables/queryTable281.xml"/><Relationship Id="rId22" Type="http://schemas.openxmlformats.org/officeDocument/2006/relationships/queryTable" Target="../queryTables/queryTable289.xml"/><Relationship Id="rId27" Type="http://schemas.openxmlformats.org/officeDocument/2006/relationships/queryTable" Target="../queryTables/queryTable294.xml"/><Relationship Id="rId30" Type="http://schemas.openxmlformats.org/officeDocument/2006/relationships/queryTable" Target="../queryTables/queryTable297.xml"/><Relationship Id="rId35" Type="http://schemas.openxmlformats.org/officeDocument/2006/relationships/queryTable" Target="../queryTables/queryTable302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15.xml"/><Relationship Id="rId13" Type="http://schemas.openxmlformats.org/officeDocument/2006/relationships/queryTable" Target="../queryTables/queryTable320.xml"/><Relationship Id="rId18" Type="http://schemas.openxmlformats.org/officeDocument/2006/relationships/queryTable" Target="../queryTables/queryTable325.xml"/><Relationship Id="rId26" Type="http://schemas.openxmlformats.org/officeDocument/2006/relationships/queryTable" Target="../queryTables/queryTable333.xml"/><Relationship Id="rId3" Type="http://schemas.openxmlformats.org/officeDocument/2006/relationships/queryTable" Target="../queryTables/queryTable310.xml"/><Relationship Id="rId21" Type="http://schemas.openxmlformats.org/officeDocument/2006/relationships/queryTable" Target="../queryTables/queryTable328.xml"/><Relationship Id="rId7" Type="http://schemas.openxmlformats.org/officeDocument/2006/relationships/queryTable" Target="../queryTables/queryTable314.xml"/><Relationship Id="rId12" Type="http://schemas.openxmlformats.org/officeDocument/2006/relationships/queryTable" Target="../queryTables/queryTable319.xml"/><Relationship Id="rId17" Type="http://schemas.openxmlformats.org/officeDocument/2006/relationships/queryTable" Target="../queryTables/queryTable324.xml"/><Relationship Id="rId25" Type="http://schemas.openxmlformats.org/officeDocument/2006/relationships/queryTable" Target="../queryTables/queryTable332.xml"/><Relationship Id="rId2" Type="http://schemas.openxmlformats.org/officeDocument/2006/relationships/queryTable" Target="../queryTables/queryTable309.xml"/><Relationship Id="rId16" Type="http://schemas.openxmlformats.org/officeDocument/2006/relationships/queryTable" Target="../queryTables/queryTable323.xml"/><Relationship Id="rId20" Type="http://schemas.openxmlformats.org/officeDocument/2006/relationships/queryTable" Target="../queryTables/queryTable327.xml"/><Relationship Id="rId29" Type="http://schemas.openxmlformats.org/officeDocument/2006/relationships/queryTable" Target="../queryTables/queryTable336.xml"/><Relationship Id="rId1" Type="http://schemas.openxmlformats.org/officeDocument/2006/relationships/queryTable" Target="../queryTables/queryTable308.xml"/><Relationship Id="rId6" Type="http://schemas.openxmlformats.org/officeDocument/2006/relationships/queryTable" Target="../queryTables/queryTable313.xml"/><Relationship Id="rId11" Type="http://schemas.openxmlformats.org/officeDocument/2006/relationships/queryTable" Target="../queryTables/queryTable318.xml"/><Relationship Id="rId24" Type="http://schemas.openxmlformats.org/officeDocument/2006/relationships/queryTable" Target="../queryTables/queryTable331.xml"/><Relationship Id="rId32" Type="http://schemas.openxmlformats.org/officeDocument/2006/relationships/queryTable" Target="../queryTables/queryTable339.xml"/><Relationship Id="rId5" Type="http://schemas.openxmlformats.org/officeDocument/2006/relationships/queryTable" Target="../queryTables/queryTable312.xml"/><Relationship Id="rId15" Type="http://schemas.openxmlformats.org/officeDocument/2006/relationships/queryTable" Target="../queryTables/queryTable322.xml"/><Relationship Id="rId23" Type="http://schemas.openxmlformats.org/officeDocument/2006/relationships/queryTable" Target="../queryTables/queryTable330.xml"/><Relationship Id="rId28" Type="http://schemas.openxmlformats.org/officeDocument/2006/relationships/queryTable" Target="../queryTables/queryTable335.xml"/><Relationship Id="rId10" Type="http://schemas.openxmlformats.org/officeDocument/2006/relationships/queryTable" Target="../queryTables/queryTable317.xml"/><Relationship Id="rId19" Type="http://schemas.openxmlformats.org/officeDocument/2006/relationships/queryTable" Target="../queryTables/queryTable326.xml"/><Relationship Id="rId31" Type="http://schemas.openxmlformats.org/officeDocument/2006/relationships/queryTable" Target="../queryTables/queryTable338.xml"/><Relationship Id="rId4" Type="http://schemas.openxmlformats.org/officeDocument/2006/relationships/queryTable" Target="../queryTables/queryTable311.xml"/><Relationship Id="rId9" Type="http://schemas.openxmlformats.org/officeDocument/2006/relationships/queryTable" Target="../queryTables/queryTable316.xml"/><Relationship Id="rId14" Type="http://schemas.openxmlformats.org/officeDocument/2006/relationships/queryTable" Target="../queryTables/queryTable321.xml"/><Relationship Id="rId22" Type="http://schemas.openxmlformats.org/officeDocument/2006/relationships/queryTable" Target="../queryTables/queryTable329.xml"/><Relationship Id="rId27" Type="http://schemas.openxmlformats.org/officeDocument/2006/relationships/queryTable" Target="../queryTables/queryTable334.xml"/><Relationship Id="rId30" Type="http://schemas.openxmlformats.org/officeDocument/2006/relationships/queryTable" Target="../queryTables/queryTable337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47.xml"/><Relationship Id="rId13" Type="http://schemas.openxmlformats.org/officeDocument/2006/relationships/queryTable" Target="../queryTables/queryTable352.xml"/><Relationship Id="rId18" Type="http://schemas.openxmlformats.org/officeDocument/2006/relationships/queryTable" Target="../queryTables/queryTable357.xml"/><Relationship Id="rId26" Type="http://schemas.openxmlformats.org/officeDocument/2006/relationships/queryTable" Target="../queryTables/queryTable365.xml"/><Relationship Id="rId3" Type="http://schemas.openxmlformats.org/officeDocument/2006/relationships/queryTable" Target="../queryTables/queryTable342.xml"/><Relationship Id="rId21" Type="http://schemas.openxmlformats.org/officeDocument/2006/relationships/queryTable" Target="../queryTables/queryTable360.xml"/><Relationship Id="rId7" Type="http://schemas.openxmlformats.org/officeDocument/2006/relationships/queryTable" Target="../queryTables/queryTable346.xml"/><Relationship Id="rId12" Type="http://schemas.openxmlformats.org/officeDocument/2006/relationships/queryTable" Target="../queryTables/queryTable351.xml"/><Relationship Id="rId17" Type="http://schemas.openxmlformats.org/officeDocument/2006/relationships/queryTable" Target="../queryTables/queryTable356.xml"/><Relationship Id="rId25" Type="http://schemas.openxmlformats.org/officeDocument/2006/relationships/queryTable" Target="../queryTables/queryTable364.xml"/><Relationship Id="rId2" Type="http://schemas.openxmlformats.org/officeDocument/2006/relationships/queryTable" Target="../queryTables/queryTable341.xml"/><Relationship Id="rId16" Type="http://schemas.openxmlformats.org/officeDocument/2006/relationships/queryTable" Target="../queryTables/queryTable355.xml"/><Relationship Id="rId20" Type="http://schemas.openxmlformats.org/officeDocument/2006/relationships/queryTable" Target="../queryTables/queryTable359.xml"/><Relationship Id="rId29" Type="http://schemas.openxmlformats.org/officeDocument/2006/relationships/queryTable" Target="../queryTables/queryTable368.xml"/><Relationship Id="rId1" Type="http://schemas.openxmlformats.org/officeDocument/2006/relationships/queryTable" Target="../queryTables/queryTable340.xml"/><Relationship Id="rId6" Type="http://schemas.openxmlformats.org/officeDocument/2006/relationships/queryTable" Target="../queryTables/queryTable345.xml"/><Relationship Id="rId11" Type="http://schemas.openxmlformats.org/officeDocument/2006/relationships/queryTable" Target="../queryTables/queryTable350.xml"/><Relationship Id="rId24" Type="http://schemas.openxmlformats.org/officeDocument/2006/relationships/queryTable" Target="../queryTables/queryTable363.xml"/><Relationship Id="rId5" Type="http://schemas.openxmlformats.org/officeDocument/2006/relationships/queryTable" Target="../queryTables/queryTable344.xml"/><Relationship Id="rId15" Type="http://schemas.openxmlformats.org/officeDocument/2006/relationships/queryTable" Target="../queryTables/queryTable354.xml"/><Relationship Id="rId23" Type="http://schemas.openxmlformats.org/officeDocument/2006/relationships/queryTable" Target="../queryTables/queryTable362.xml"/><Relationship Id="rId28" Type="http://schemas.openxmlformats.org/officeDocument/2006/relationships/queryTable" Target="../queryTables/queryTable367.xml"/><Relationship Id="rId10" Type="http://schemas.openxmlformats.org/officeDocument/2006/relationships/queryTable" Target="../queryTables/queryTable349.xml"/><Relationship Id="rId19" Type="http://schemas.openxmlformats.org/officeDocument/2006/relationships/queryTable" Target="../queryTables/queryTable358.xml"/><Relationship Id="rId4" Type="http://schemas.openxmlformats.org/officeDocument/2006/relationships/queryTable" Target="../queryTables/queryTable343.xml"/><Relationship Id="rId9" Type="http://schemas.openxmlformats.org/officeDocument/2006/relationships/queryTable" Target="../queryTables/queryTable348.xml"/><Relationship Id="rId14" Type="http://schemas.openxmlformats.org/officeDocument/2006/relationships/queryTable" Target="../queryTables/queryTable353.xml"/><Relationship Id="rId22" Type="http://schemas.openxmlformats.org/officeDocument/2006/relationships/queryTable" Target="../queryTables/queryTable361.xml"/><Relationship Id="rId27" Type="http://schemas.openxmlformats.org/officeDocument/2006/relationships/queryTable" Target="../queryTables/queryTable366.xml"/><Relationship Id="rId30" Type="http://schemas.openxmlformats.org/officeDocument/2006/relationships/queryTable" Target="../queryTables/queryTable36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7.xml"/><Relationship Id="rId13" Type="http://schemas.openxmlformats.org/officeDocument/2006/relationships/queryTable" Target="../queryTables/queryTable382.xml"/><Relationship Id="rId18" Type="http://schemas.openxmlformats.org/officeDocument/2006/relationships/queryTable" Target="../queryTables/queryTable387.xml"/><Relationship Id="rId3" Type="http://schemas.openxmlformats.org/officeDocument/2006/relationships/queryTable" Target="../queryTables/queryTable372.xml"/><Relationship Id="rId21" Type="http://schemas.openxmlformats.org/officeDocument/2006/relationships/queryTable" Target="../queryTables/queryTable390.xml"/><Relationship Id="rId7" Type="http://schemas.openxmlformats.org/officeDocument/2006/relationships/queryTable" Target="../queryTables/queryTable376.xml"/><Relationship Id="rId12" Type="http://schemas.openxmlformats.org/officeDocument/2006/relationships/queryTable" Target="../queryTables/queryTable381.xml"/><Relationship Id="rId17" Type="http://schemas.openxmlformats.org/officeDocument/2006/relationships/queryTable" Target="../queryTables/queryTable386.xml"/><Relationship Id="rId2" Type="http://schemas.openxmlformats.org/officeDocument/2006/relationships/queryTable" Target="../queryTables/queryTable371.xml"/><Relationship Id="rId16" Type="http://schemas.openxmlformats.org/officeDocument/2006/relationships/queryTable" Target="../queryTables/queryTable385.xml"/><Relationship Id="rId20" Type="http://schemas.openxmlformats.org/officeDocument/2006/relationships/queryTable" Target="../queryTables/queryTable389.xml"/><Relationship Id="rId1" Type="http://schemas.openxmlformats.org/officeDocument/2006/relationships/queryTable" Target="../queryTables/queryTable370.xml"/><Relationship Id="rId6" Type="http://schemas.openxmlformats.org/officeDocument/2006/relationships/queryTable" Target="../queryTables/queryTable375.xml"/><Relationship Id="rId11" Type="http://schemas.openxmlformats.org/officeDocument/2006/relationships/queryTable" Target="../queryTables/queryTable380.xml"/><Relationship Id="rId24" Type="http://schemas.openxmlformats.org/officeDocument/2006/relationships/queryTable" Target="../queryTables/queryTable393.xml"/><Relationship Id="rId5" Type="http://schemas.openxmlformats.org/officeDocument/2006/relationships/queryTable" Target="../queryTables/queryTable374.xml"/><Relationship Id="rId15" Type="http://schemas.openxmlformats.org/officeDocument/2006/relationships/queryTable" Target="../queryTables/queryTable384.xml"/><Relationship Id="rId23" Type="http://schemas.openxmlformats.org/officeDocument/2006/relationships/queryTable" Target="../queryTables/queryTable392.xml"/><Relationship Id="rId10" Type="http://schemas.openxmlformats.org/officeDocument/2006/relationships/queryTable" Target="../queryTables/queryTable379.xml"/><Relationship Id="rId19" Type="http://schemas.openxmlformats.org/officeDocument/2006/relationships/queryTable" Target="../queryTables/queryTable388.xml"/><Relationship Id="rId4" Type="http://schemas.openxmlformats.org/officeDocument/2006/relationships/queryTable" Target="../queryTables/queryTable373.xml"/><Relationship Id="rId9" Type="http://schemas.openxmlformats.org/officeDocument/2006/relationships/queryTable" Target="../queryTables/queryTable378.xml"/><Relationship Id="rId14" Type="http://schemas.openxmlformats.org/officeDocument/2006/relationships/queryTable" Target="../queryTables/queryTable383.xml"/><Relationship Id="rId22" Type="http://schemas.openxmlformats.org/officeDocument/2006/relationships/queryTable" Target="../queryTables/queryTable39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1.xml"/><Relationship Id="rId13" Type="http://schemas.openxmlformats.org/officeDocument/2006/relationships/queryTable" Target="../queryTables/queryTable406.xml"/><Relationship Id="rId18" Type="http://schemas.openxmlformats.org/officeDocument/2006/relationships/queryTable" Target="../queryTables/queryTable411.xml"/><Relationship Id="rId26" Type="http://schemas.openxmlformats.org/officeDocument/2006/relationships/queryTable" Target="../queryTables/queryTable419.xml"/><Relationship Id="rId3" Type="http://schemas.openxmlformats.org/officeDocument/2006/relationships/queryTable" Target="../queryTables/queryTable396.xml"/><Relationship Id="rId21" Type="http://schemas.openxmlformats.org/officeDocument/2006/relationships/queryTable" Target="../queryTables/queryTable414.xml"/><Relationship Id="rId7" Type="http://schemas.openxmlformats.org/officeDocument/2006/relationships/queryTable" Target="../queryTables/queryTable400.xml"/><Relationship Id="rId12" Type="http://schemas.openxmlformats.org/officeDocument/2006/relationships/queryTable" Target="../queryTables/queryTable405.xml"/><Relationship Id="rId17" Type="http://schemas.openxmlformats.org/officeDocument/2006/relationships/queryTable" Target="../queryTables/queryTable410.xml"/><Relationship Id="rId25" Type="http://schemas.openxmlformats.org/officeDocument/2006/relationships/queryTable" Target="../queryTables/queryTable418.xml"/><Relationship Id="rId2" Type="http://schemas.openxmlformats.org/officeDocument/2006/relationships/queryTable" Target="../queryTables/queryTable395.xml"/><Relationship Id="rId16" Type="http://schemas.openxmlformats.org/officeDocument/2006/relationships/queryTable" Target="../queryTables/queryTable409.xml"/><Relationship Id="rId20" Type="http://schemas.openxmlformats.org/officeDocument/2006/relationships/queryTable" Target="../queryTables/queryTable413.xml"/><Relationship Id="rId1" Type="http://schemas.openxmlformats.org/officeDocument/2006/relationships/queryTable" Target="../queryTables/queryTable394.xml"/><Relationship Id="rId6" Type="http://schemas.openxmlformats.org/officeDocument/2006/relationships/queryTable" Target="../queryTables/queryTable399.xml"/><Relationship Id="rId11" Type="http://schemas.openxmlformats.org/officeDocument/2006/relationships/queryTable" Target="../queryTables/queryTable404.xml"/><Relationship Id="rId24" Type="http://schemas.openxmlformats.org/officeDocument/2006/relationships/queryTable" Target="../queryTables/queryTable417.xml"/><Relationship Id="rId5" Type="http://schemas.openxmlformats.org/officeDocument/2006/relationships/queryTable" Target="../queryTables/queryTable398.xml"/><Relationship Id="rId15" Type="http://schemas.openxmlformats.org/officeDocument/2006/relationships/queryTable" Target="../queryTables/queryTable408.xml"/><Relationship Id="rId23" Type="http://schemas.openxmlformats.org/officeDocument/2006/relationships/queryTable" Target="../queryTables/queryTable416.xml"/><Relationship Id="rId10" Type="http://schemas.openxmlformats.org/officeDocument/2006/relationships/queryTable" Target="../queryTables/queryTable403.xml"/><Relationship Id="rId19" Type="http://schemas.openxmlformats.org/officeDocument/2006/relationships/queryTable" Target="../queryTables/queryTable412.xml"/><Relationship Id="rId4" Type="http://schemas.openxmlformats.org/officeDocument/2006/relationships/queryTable" Target="../queryTables/queryTable397.xml"/><Relationship Id="rId9" Type="http://schemas.openxmlformats.org/officeDocument/2006/relationships/queryTable" Target="../queryTables/queryTable402.xml"/><Relationship Id="rId14" Type="http://schemas.openxmlformats.org/officeDocument/2006/relationships/queryTable" Target="../queryTables/queryTable407.xml"/><Relationship Id="rId22" Type="http://schemas.openxmlformats.org/officeDocument/2006/relationships/queryTable" Target="../queryTables/queryTable415.xml"/><Relationship Id="rId27" Type="http://schemas.openxmlformats.org/officeDocument/2006/relationships/queryTable" Target="../queryTables/queryTable420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28.xml"/><Relationship Id="rId13" Type="http://schemas.openxmlformats.org/officeDocument/2006/relationships/queryTable" Target="../queryTables/queryTable433.xml"/><Relationship Id="rId18" Type="http://schemas.openxmlformats.org/officeDocument/2006/relationships/queryTable" Target="../queryTables/queryTable438.xml"/><Relationship Id="rId26" Type="http://schemas.openxmlformats.org/officeDocument/2006/relationships/queryTable" Target="../queryTables/queryTable446.xml"/><Relationship Id="rId3" Type="http://schemas.openxmlformats.org/officeDocument/2006/relationships/queryTable" Target="../queryTables/queryTable423.xml"/><Relationship Id="rId21" Type="http://schemas.openxmlformats.org/officeDocument/2006/relationships/queryTable" Target="../queryTables/queryTable441.xml"/><Relationship Id="rId34" Type="http://schemas.openxmlformats.org/officeDocument/2006/relationships/queryTable" Target="../queryTables/queryTable454.xml"/><Relationship Id="rId7" Type="http://schemas.openxmlformats.org/officeDocument/2006/relationships/queryTable" Target="../queryTables/queryTable427.xml"/><Relationship Id="rId12" Type="http://schemas.openxmlformats.org/officeDocument/2006/relationships/queryTable" Target="../queryTables/queryTable432.xml"/><Relationship Id="rId17" Type="http://schemas.openxmlformats.org/officeDocument/2006/relationships/queryTable" Target="../queryTables/queryTable437.xml"/><Relationship Id="rId25" Type="http://schemas.openxmlformats.org/officeDocument/2006/relationships/queryTable" Target="../queryTables/queryTable445.xml"/><Relationship Id="rId33" Type="http://schemas.openxmlformats.org/officeDocument/2006/relationships/queryTable" Target="../queryTables/queryTable453.xml"/><Relationship Id="rId2" Type="http://schemas.openxmlformats.org/officeDocument/2006/relationships/queryTable" Target="../queryTables/queryTable422.xml"/><Relationship Id="rId16" Type="http://schemas.openxmlformats.org/officeDocument/2006/relationships/queryTable" Target="../queryTables/queryTable436.xml"/><Relationship Id="rId20" Type="http://schemas.openxmlformats.org/officeDocument/2006/relationships/queryTable" Target="../queryTables/queryTable440.xml"/><Relationship Id="rId29" Type="http://schemas.openxmlformats.org/officeDocument/2006/relationships/queryTable" Target="../queryTables/queryTable449.xml"/><Relationship Id="rId1" Type="http://schemas.openxmlformats.org/officeDocument/2006/relationships/queryTable" Target="../queryTables/queryTable421.xml"/><Relationship Id="rId6" Type="http://schemas.openxmlformats.org/officeDocument/2006/relationships/queryTable" Target="../queryTables/queryTable426.xml"/><Relationship Id="rId11" Type="http://schemas.openxmlformats.org/officeDocument/2006/relationships/queryTable" Target="../queryTables/queryTable431.xml"/><Relationship Id="rId24" Type="http://schemas.openxmlformats.org/officeDocument/2006/relationships/queryTable" Target="../queryTables/queryTable444.xml"/><Relationship Id="rId32" Type="http://schemas.openxmlformats.org/officeDocument/2006/relationships/queryTable" Target="../queryTables/queryTable452.xml"/><Relationship Id="rId5" Type="http://schemas.openxmlformats.org/officeDocument/2006/relationships/queryTable" Target="../queryTables/queryTable425.xml"/><Relationship Id="rId15" Type="http://schemas.openxmlformats.org/officeDocument/2006/relationships/queryTable" Target="../queryTables/queryTable435.xml"/><Relationship Id="rId23" Type="http://schemas.openxmlformats.org/officeDocument/2006/relationships/queryTable" Target="../queryTables/queryTable443.xml"/><Relationship Id="rId28" Type="http://schemas.openxmlformats.org/officeDocument/2006/relationships/queryTable" Target="../queryTables/queryTable448.xml"/><Relationship Id="rId36" Type="http://schemas.openxmlformats.org/officeDocument/2006/relationships/queryTable" Target="../queryTables/queryTable456.xml"/><Relationship Id="rId10" Type="http://schemas.openxmlformats.org/officeDocument/2006/relationships/queryTable" Target="../queryTables/queryTable430.xml"/><Relationship Id="rId19" Type="http://schemas.openxmlformats.org/officeDocument/2006/relationships/queryTable" Target="../queryTables/queryTable439.xml"/><Relationship Id="rId31" Type="http://schemas.openxmlformats.org/officeDocument/2006/relationships/queryTable" Target="../queryTables/queryTable451.xml"/><Relationship Id="rId4" Type="http://schemas.openxmlformats.org/officeDocument/2006/relationships/queryTable" Target="../queryTables/queryTable424.xml"/><Relationship Id="rId9" Type="http://schemas.openxmlformats.org/officeDocument/2006/relationships/queryTable" Target="../queryTables/queryTable429.xml"/><Relationship Id="rId14" Type="http://schemas.openxmlformats.org/officeDocument/2006/relationships/queryTable" Target="../queryTables/queryTable434.xml"/><Relationship Id="rId22" Type="http://schemas.openxmlformats.org/officeDocument/2006/relationships/queryTable" Target="../queryTables/queryTable442.xml"/><Relationship Id="rId27" Type="http://schemas.openxmlformats.org/officeDocument/2006/relationships/queryTable" Target="../queryTables/queryTable447.xml"/><Relationship Id="rId30" Type="http://schemas.openxmlformats.org/officeDocument/2006/relationships/queryTable" Target="../queryTables/queryTable450.xml"/><Relationship Id="rId35" Type="http://schemas.openxmlformats.org/officeDocument/2006/relationships/queryTable" Target="../queryTables/queryTable455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64.xml"/><Relationship Id="rId13" Type="http://schemas.openxmlformats.org/officeDocument/2006/relationships/queryTable" Target="../queryTables/queryTable469.xml"/><Relationship Id="rId18" Type="http://schemas.openxmlformats.org/officeDocument/2006/relationships/queryTable" Target="../queryTables/queryTable474.xml"/><Relationship Id="rId26" Type="http://schemas.openxmlformats.org/officeDocument/2006/relationships/queryTable" Target="../queryTables/queryTable482.xml"/><Relationship Id="rId3" Type="http://schemas.openxmlformats.org/officeDocument/2006/relationships/queryTable" Target="../queryTables/queryTable459.xml"/><Relationship Id="rId21" Type="http://schemas.openxmlformats.org/officeDocument/2006/relationships/queryTable" Target="../queryTables/queryTable477.xml"/><Relationship Id="rId34" Type="http://schemas.openxmlformats.org/officeDocument/2006/relationships/queryTable" Target="../queryTables/queryTable490.xml"/><Relationship Id="rId7" Type="http://schemas.openxmlformats.org/officeDocument/2006/relationships/queryTable" Target="../queryTables/queryTable463.xml"/><Relationship Id="rId12" Type="http://schemas.openxmlformats.org/officeDocument/2006/relationships/queryTable" Target="../queryTables/queryTable468.xml"/><Relationship Id="rId17" Type="http://schemas.openxmlformats.org/officeDocument/2006/relationships/queryTable" Target="../queryTables/queryTable473.xml"/><Relationship Id="rId25" Type="http://schemas.openxmlformats.org/officeDocument/2006/relationships/queryTable" Target="../queryTables/queryTable481.xml"/><Relationship Id="rId33" Type="http://schemas.openxmlformats.org/officeDocument/2006/relationships/queryTable" Target="../queryTables/queryTable489.xml"/><Relationship Id="rId2" Type="http://schemas.openxmlformats.org/officeDocument/2006/relationships/queryTable" Target="../queryTables/queryTable458.xml"/><Relationship Id="rId16" Type="http://schemas.openxmlformats.org/officeDocument/2006/relationships/queryTable" Target="../queryTables/queryTable472.xml"/><Relationship Id="rId20" Type="http://schemas.openxmlformats.org/officeDocument/2006/relationships/queryTable" Target="../queryTables/queryTable476.xml"/><Relationship Id="rId29" Type="http://schemas.openxmlformats.org/officeDocument/2006/relationships/queryTable" Target="../queryTables/queryTable485.xml"/><Relationship Id="rId1" Type="http://schemas.openxmlformats.org/officeDocument/2006/relationships/queryTable" Target="../queryTables/queryTable457.xml"/><Relationship Id="rId6" Type="http://schemas.openxmlformats.org/officeDocument/2006/relationships/queryTable" Target="../queryTables/queryTable462.xml"/><Relationship Id="rId11" Type="http://schemas.openxmlformats.org/officeDocument/2006/relationships/queryTable" Target="../queryTables/queryTable467.xml"/><Relationship Id="rId24" Type="http://schemas.openxmlformats.org/officeDocument/2006/relationships/queryTable" Target="../queryTables/queryTable480.xml"/><Relationship Id="rId32" Type="http://schemas.openxmlformats.org/officeDocument/2006/relationships/queryTable" Target="../queryTables/queryTable488.xml"/><Relationship Id="rId5" Type="http://schemas.openxmlformats.org/officeDocument/2006/relationships/queryTable" Target="../queryTables/queryTable461.xml"/><Relationship Id="rId15" Type="http://schemas.openxmlformats.org/officeDocument/2006/relationships/queryTable" Target="../queryTables/queryTable471.xml"/><Relationship Id="rId23" Type="http://schemas.openxmlformats.org/officeDocument/2006/relationships/queryTable" Target="../queryTables/queryTable479.xml"/><Relationship Id="rId28" Type="http://schemas.openxmlformats.org/officeDocument/2006/relationships/queryTable" Target="../queryTables/queryTable484.xml"/><Relationship Id="rId10" Type="http://schemas.openxmlformats.org/officeDocument/2006/relationships/queryTable" Target="../queryTables/queryTable466.xml"/><Relationship Id="rId19" Type="http://schemas.openxmlformats.org/officeDocument/2006/relationships/queryTable" Target="../queryTables/queryTable475.xml"/><Relationship Id="rId31" Type="http://schemas.openxmlformats.org/officeDocument/2006/relationships/queryTable" Target="../queryTables/queryTable487.xml"/><Relationship Id="rId4" Type="http://schemas.openxmlformats.org/officeDocument/2006/relationships/queryTable" Target="../queryTables/queryTable460.xml"/><Relationship Id="rId9" Type="http://schemas.openxmlformats.org/officeDocument/2006/relationships/queryTable" Target="../queryTables/queryTable465.xml"/><Relationship Id="rId14" Type="http://schemas.openxmlformats.org/officeDocument/2006/relationships/queryTable" Target="../queryTables/queryTable470.xml"/><Relationship Id="rId22" Type="http://schemas.openxmlformats.org/officeDocument/2006/relationships/queryTable" Target="../queryTables/queryTable478.xml"/><Relationship Id="rId27" Type="http://schemas.openxmlformats.org/officeDocument/2006/relationships/queryTable" Target="../queryTables/queryTable483.xml"/><Relationship Id="rId30" Type="http://schemas.openxmlformats.org/officeDocument/2006/relationships/queryTable" Target="../queryTables/queryTable486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97.xml"/><Relationship Id="rId13" Type="http://schemas.openxmlformats.org/officeDocument/2006/relationships/queryTable" Target="../queryTables/queryTable502.xml"/><Relationship Id="rId18" Type="http://schemas.openxmlformats.org/officeDocument/2006/relationships/queryTable" Target="../queryTables/queryTable507.xml"/><Relationship Id="rId26" Type="http://schemas.openxmlformats.org/officeDocument/2006/relationships/queryTable" Target="../queryTables/queryTable515.xml"/><Relationship Id="rId39" Type="http://schemas.openxmlformats.org/officeDocument/2006/relationships/queryTable" Target="../queryTables/queryTable528.xml"/><Relationship Id="rId3" Type="http://schemas.openxmlformats.org/officeDocument/2006/relationships/queryTable" Target="../queryTables/queryTable492.xml"/><Relationship Id="rId21" Type="http://schemas.openxmlformats.org/officeDocument/2006/relationships/queryTable" Target="../queryTables/queryTable510.xml"/><Relationship Id="rId34" Type="http://schemas.openxmlformats.org/officeDocument/2006/relationships/queryTable" Target="../queryTables/queryTable523.xml"/><Relationship Id="rId42" Type="http://schemas.openxmlformats.org/officeDocument/2006/relationships/queryTable" Target="../queryTables/queryTable531.xml"/><Relationship Id="rId7" Type="http://schemas.openxmlformats.org/officeDocument/2006/relationships/queryTable" Target="../queryTables/queryTable496.xml"/><Relationship Id="rId12" Type="http://schemas.openxmlformats.org/officeDocument/2006/relationships/queryTable" Target="../queryTables/queryTable501.xml"/><Relationship Id="rId17" Type="http://schemas.openxmlformats.org/officeDocument/2006/relationships/queryTable" Target="../queryTables/queryTable506.xml"/><Relationship Id="rId25" Type="http://schemas.openxmlformats.org/officeDocument/2006/relationships/queryTable" Target="../queryTables/queryTable514.xml"/><Relationship Id="rId33" Type="http://schemas.openxmlformats.org/officeDocument/2006/relationships/queryTable" Target="../queryTables/queryTable522.xml"/><Relationship Id="rId38" Type="http://schemas.openxmlformats.org/officeDocument/2006/relationships/queryTable" Target="../queryTables/queryTable527.xml"/><Relationship Id="rId2" Type="http://schemas.openxmlformats.org/officeDocument/2006/relationships/queryTable" Target="../queryTables/queryTable491.xml"/><Relationship Id="rId16" Type="http://schemas.openxmlformats.org/officeDocument/2006/relationships/queryTable" Target="../queryTables/queryTable505.xml"/><Relationship Id="rId20" Type="http://schemas.openxmlformats.org/officeDocument/2006/relationships/queryTable" Target="../queryTables/queryTable509.xml"/><Relationship Id="rId29" Type="http://schemas.openxmlformats.org/officeDocument/2006/relationships/queryTable" Target="../queryTables/queryTable518.xml"/><Relationship Id="rId41" Type="http://schemas.openxmlformats.org/officeDocument/2006/relationships/queryTable" Target="../queryTables/queryTable530.xml"/><Relationship Id="rId1" Type="http://schemas.openxmlformats.org/officeDocument/2006/relationships/printerSettings" Target="../printerSettings/printerSettings7.bin"/><Relationship Id="rId6" Type="http://schemas.openxmlformats.org/officeDocument/2006/relationships/queryTable" Target="../queryTables/queryTable495.xml"/><Relationship Id="rId11" Type="http://schemas.openxmlformats.org/officeDocument/2006/relationships/queryTable" Target="../queryTables/queryTable500.xml"/><Relationship Id="rId24" Type="http://schemas.openxmlformats.org/officeDocument/2006/relationships/queryTable" Target="../queryTables/queryTable513.xml"/><Relationship Id="rId32" Type="http://schemas.openxmlformats.org/officeDocument/2006/relationships/queryTable" Target="../queryTables/queryTable521.xml"/><Relationship Id="rId37" Type="http://schemas.openxmlformats.org/officeDocument/2006/relationships/queryTable" Target="../queryTables/queryTable526.xml"/><Relationship Id="rId40" Type="http://schemas.openxmlformats.org/officeDocument/2006/relationships/queryTable" Target="../queryTables/queryTable529.xml"/><Relationship Id="rId5" Type="http://schemas.openxmlformats.org/officeDocument/2006/relationships/queryTable" Target="../queryTables/queryTable494.xml"/><Relationship Id="rId15" Type="http://schemas.openxmlformats.org/officeDocument/2006/relationships/queryTable" Target="../queryTables/queryTable504.xml"/><Relationship Id="rId23" Type="http://schemas.openxmlformats.org/officeDocument/2006/relationships/queryTable" Target="../queryTables/queryTable512.xml"/><Relationship Id="rId28" Type="http://schemas.openxmlformats.org/officeDocument/2006/relationships/queryTable" Target="../queryTables/queryTable517.xml"/><Relationship Id="rId36" Type="http://schemas.openxmlformats.org/officeDocument/2006/relationships/queryTable" Target="../queryTables/queryTable525.xml"/><Relationship Id="rId10" Type="http://schemas.openxmlformats.org/officeDocument/2006/relationships/queryTable" Target="../queryTables/queryTable499.xml"/><Relationship Id="rId19" Type="http://schemas.openxmlformats.org/officeDocument/2006/relationships/queryTable" Target="../queryTables/queryTable508.xml"/><Relationship Id="rId31" Type="http://schemas.openxmlformats.org/officeDocument/2006/relationships/queryTable" Target="../queryTables/queryTable520.xml"/><Relationship Id="rId44" Type="http://schemas.openxmlformats.org/officeDocument/2006/relationships/queryTable" Target="../queryTables/queryTable533.xml"/><Relationship Id="rId4" Type="http://schemas.openxmlformats.org/officeDocument/2006/relationships/queryTable" Target="../queryTables/queryTable493.xml"/><Relationship Id="rId9" Type="http://schemas.openxmlformats.org/officeDocument/2006/relationships/queryTable" Target="../queryTables/queryTable498.xml"/><Relationship Id="rId14" Type="http://schemas.openxmlformats.org/officeDocument/2006/relationships/queryTable" Target="../queryTables/queryTable503.xml"/><Relationship Id="rId22" Type="http://schemas.openxmlformats.org/officeDocument/2006/relationships/queryTable" Target="../queryTables/queryTable511.xml"/><Relationship Id="rId27" Type="http://schemas.openxmlformats.org/officeDocument/2006/relationships/queryTable" Target="../queryTables/queryTable516.xml"/><Relationship Id="rId30" Type="http://schemas.openxmlformats.org/officeDocument/2006/relationships/queryTable" Target="../queryTables/queryTable519.xml"/><Relationship Id="rId35" Type="http://schemas.openxmlformats.org/officeDocument/2006/relationships/queryTable" Target="../queryTables/queryTable524.xml"/><Relationship Id="rId43" Type="http://schemas.openxmlformats.org/officeDocument/2006/relationships/queryTable" Target="../queryTables/queryTable53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41.xml"/><Relationship Id="rId13" Type="http://schemas.openxmlformats.org/officeDocument/2006/relationships/queryTable" Target="../queryTables/queryTable546.xml"/><Relationship Id="rId18" Type="http://schemas.openxmlformats.org/officeDocument/2006/relationships/queryTable" Target="../queryTables/queryTable551.xml"/><Relationship Id="rId26" Type="http://schemas.openxmlformats.org/officeDocument/2006/relationships/queryTable" Target="../queryTables/queryTable559.xml"/><Relationship Id="rId3" Type="http://schemas.openxmlformats.org/officeDocument/2006/relationships/queryTable" Target="../queryTables/queryTable536.xml"/><Relationship Id="rId21" Type="http://schemas.openxmlformats.org/officeDocument/2006/relationships/queryTable" Target="../queryTables/queryTable554.xml"/><Relationship Id="rId7" Type="http://schemas.openxmlformats.org/officeDocument/2006/relationships/queryTable" Target="../queryTables/queryTable540.xml"/><Relationship Id="rId12" Type="http://schemas.openxmlformats.org/officeDocument/2006/relationships/queryTable" Target="../queryTables/queryTable545.xml"/><Relationship Id="rId17" Type="http://schemas.openxmlformats.org/officeDocument/2006/relationships/queryTable" Target="../queryTables/queryTable550.xml"/><Relationship Id="rId25" Type="http://schemas.openxmlformats.org/officeDocument/2006/relationships/queryTable" Target="../queryTables/queryTable558.xml"/><Relationship Id="rId2" Type="http://schemas.openxmlformats.org/officeDocument/2006/relationships/queryTable" Target="../queryTables/queryTable535.xml"/><Relationship Id="rId16" Type="http://schemas.openxmlformats.org/officeDocument/2006/relationships/queryTable" Target="../queryTables/queryTable549.xml"/><Relationship Id="rId20" Type="http://schemas.openxmlformats.org/officeDocument/2006/relationships/queryTable" Target="../queryTables/queryTable553.xml"/><Relationship Id="rId29" Type="http://schemas.openxmlformats.org/officeDocument/2006/relationships/queryTable" Target="../queryTables/queryTable562.xml"/><Relationship Id="rId1" Type="http://schemas.openxmlformats.org/officeDocument/2006/relationships/queryTable" Target="../queryTables/queryTable534.xml"/><Relationship Id="rId6" Type="http://schemas.openxmlformats.org/officeDocument/2006/relationships/queryTable" Target="../queryTables/queryTable539.xml"/><Relationship Id="rId11" Type="http://schemas.openxmlformats.org/officeDocument/2006/relationships/queryTable" Target="../queryTables/queryTable544.xml"/><Relationship Id="rId24" Type="http://schemas.openxmlformats.org/officeDocument/2006/relationships/queryTable" Target="../queryTables/queryTable557.xml"/><Relationship Id="rId5" Type="http://schemas.openxmlformats.org/officeDocument/2006/relationships/queryTable" Target="../queryTables/queryTable538.xml"/><Relationship Id="rId15" Type="http://schemas.openxmlformats.org/officeDocument/2006/relationships/queryTable" Target="../queryTables/queryTable548.xml"/><Relationship Id="rId23" Type="http://schemas.openxmlformats.org/officeDocument/2006/relationships/queryTable" Target="../queryTables/queryTable556.xml"/><Relationship Id="rId28" Type="http://schemas.openxmlformats.org/officeDocument/2006/relationships/queryTable" Target="../queryTables/queryTable561.xml"/><Relationship Id="rId10" Type="http://schemas.openxmlformats.org/officeDocument/2006/relationships/queryTable" Target="../queryTables/queryTable543.xml"/><Relationship Id="rId19" Type="http://schemas.openxmlformats.org/officeDocument/2006/relationships/queryTable" Target="../queryTables/queryTable552.xml"/><Relationship Id="rId31" Type="http://schemas.openxmlformats.org/officeDocument/2006/relationships/queryTable" Target="../queryTables/queryTable564.xml"/><Relationship Id="rId4" Type="http://schemas.openxmlformats.org/officeDocument/2006/relationships/queryTable" Target="../queryTables/queryTable537.xml"/><Relationship Id="rId9" Type="http://schemas.openxmlformats.org/officeDocument/2006/relationships/queryTable" Target="../queryTables/queryTable542.xml"/><Relationship Id="rId14" Type="http://schemas.openxmlformats.org/officeDocument/2006/relationships/queryTable" Target="../queryTables/queryTable547.xml"/><Relationship Id="rId22" Type="http://schemas.openxmlformats.org/officeDocument/2006/relationships/queryTable" Target="../queryTables/queryTable555.xml"/><Relationship Id="rId27" Type="http://schemas.openxmlformats.org/officeDocument/2006/relationships/queryTable" Target="../queryTables/queryTable560.xml"/><Relationship Id="rId30" Type="http://schemas.openxmlformats.org/officeDocument/2006/relationships/queryTable" Target="../queryTables/queryTable563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577.xml"/><Relationship Id="rId18" Type="http://schemas.openxmlformats.org/officeDocument/2006/relationships/queryTable" Target="../queryTables/queryTable582.xml"/><Relationship Id="rId26" Type="http://schemas.openxmlformats.org/officeDocument/2006/relationships/queryTable" Target="../queryTables/queryTable590.xml"/><Relationship Id="rId39" Type="http://schemas.openxmlformats.org/officeDocument/2006/relationships/queryTable" Target="../queryTables/queryTable603.xml"/><Relationship Id="rId3" Type="http://schemas.openxmlformats.org/officeDocument/2006/relationships/queryTable" Target="../queryTables/queryTable567.xml"/><Relationship Id="rId21" Type="http://schemas.openxmlformats.org/officeDocument/2006/relationships/queryTable" Target="../queryTables/queryTable585.xml"/><Relationship Id="rId34" Type="http://schemas.openxmlformats.org/officeDocument/2006/relationships/queryTable" Target="../queryTables/queryTable598.xml"/><Relationship Id="rId42" Type="http://schemas.openxmlformats.org/officeDocument/2006/relationships/queryTable" Target="../queryTables/queryTable606.xml"/><Relationship Id="rId47" Type="http://schemas.openxmlformats.org/officeDocument/2006/relationships/queryTable" Target="../queryTables/queryTable611.xml"/><Relationship Id="rId50" Type="http://schemas.openxmlformats.org/officeDocument/2006/relationships/queryTable" Target="../queryTables/queryTable614.xml"/><Relationship Id="rId7" Type="http://schemas.openxmlformats.org/officeDocument/2006/relationships/queryTable" Target="../queryTables/queryTable571.xml"/><Relationship Id="rId12" Type="http://schemas.openxmlformats.org/officeDocument/2006/relationships/queryTable" Target="../queryTables/queryTable576.xml"/><Relationship Id="rId17" Type="http://schemas.openxmlformats.org/officeDocument/2006/relationships/queryTable" Target="../queryTables/queryTable581.xml"/><Relationship Id="rId25" Type="http://schemas.openxmlformats.org/officeDocument/2006/relationships/queryTable" Target="../queryTables/queryTable589.xml"/><Relationship Id="rId33" Type="http://schemas.openxmlformats.org/officeDocument/2006/relationships/queryTable" Target="../queryTables/queryTable597.xml"/><Relationship Id="rId38" Type="http://schemas.openxmlformats.org/officeDocument/2006/relationships/queryTable" Target="../queryTables/queryTable602.xml"/><Relationship Id="rId46" Type="http://schemas.openxmlformats.org/officeDocument/2006/relationships/queryTable" Target="../queryTables/queryTable610.xml"/><Relationship Id="rId2" Type="http://schemas.openxmlformats.org/officeDocument/2006/relationships/queryTable" Target="../queryTables/queryTable566.xml"/><Relationship Id="rId16" Type="http://schemas.openxmlformats.org/officeDocument/2006/relationships/queryTable" Target="../queryTables/queryTable580.xml"/><Relationship Id="rId20" Type="http://schemas.openxmlformats.org/officeDocument/2006/relationships/queryTable" Target="../queryTables/queryTable584.xml"/><Relationship Id="rId29" Type="http://schemas.openxmlformats.org/officeDocument/2006/relationships/queryTable" Target="../queryTables/queryTable593.xml"/><Relationship Id="rId41" Type="http://schemas.openxmlformats.org/officeDocument/2006/relationships/queryTable" Target="../queryTables/queryTable605.xml"/><Relationship Id="rId1" Type="http://schemas.openxmlformats.org/officeDocument/2006/relationships/queryTable" Target="../queryTables/queryTable565.xml"/><Relationship Id="rId6" Type="http://schemas.openxmlformats.org/officeDocument/2006/relationships/queryTable" Target="../queryTables/queryTable570.xml"/><Relationship Id="rId11" Type="http://schemas.openxmlformats.org/officeDocument/2006/relationships/queryTable" Target="../queryTables/queryTable575.xml"/><Relationship Id="rId24" Type="http://schemas.openxmlformats.org/officeDocument/2006/relationships/queryTable" Target="../queryTables/queryTable588.xml"/><Relationship Id="rId32" Type="http://schemas.openxmlformats.org/officeDocument/2006/relationships/queryTable" Target="../queryTables/queryTable596.xml"/><Relationship Id="rId37" Type="http://schemas.openxmlformats.org/officeDocument/2006/relationships/queryTable" Target="../queryTables/queryTable601.xml"/><Relationship Id="rId40" Type="http://schemas.openxmlformats.org/officeDocument/2006/relationships/queryTable" Target="../queryTables/queryTable604.xml"/><Relationship Id="rId45" Type="http://schemas.openxmlformats.org/officeDocument/2006/relationships/queryTable" Target="../queryTables/queryTable609.xml"/><Relationship Id="rId5" Type="http://schemas.openxmlformats.org/officeDocument/2006/relationships/queryTable" Target="../queryTables/queryTable569.xml"/><Relationship Id="rId15" Type="http://schemas.openxmlformats.org/officeDocument/2006/relationships/queryTable" Target="../queryTables/queryTable579.xml"/><Relationship Id="rId23" Type="http://schemas.openxmlformats.org/officeDocument/2006/relationships/queryTable" Target="../queryTables/queryTable587.xml"/><Relationship Id="rId28" Type="http://schemas.openxmlformats.org/officeDocument/2006/relationships/queryTable" Target="../queryTables/queryTable592.xml"/><Relationship Id="rId36" Type="http://schemas.openxmlformats.org/officeDocument/2006/relationships/queryTable" Target="../queryTables/queryTable600.xml"/><Relationship Id="rId49" Type="http://schemas.openxmlformats.org/officeDocument/2006/relationships/queryTable" Target="../queryTables/queryTable613.xml"/><Relationship Id="rId10" Type="http://schemas.openxmlformats.org/officeDocument/2006/relationships/queryTable" Target="../queryTables/queryTable574.xml"/><Relationship Id="rId19" Type="http://schemas.openxmlformats.org/officeDocument/2006/relationships/queryTable" Target="../queryTables/queryTable583.xml"/><Relationship Id="rId31" Type="http://schemas.openxmlformats.org/officeDocument/2006/relationships/queryTable" Target="../queryTables/queryTable595.xml"/><Relationship Id="rId44" Type="http://schemas.openxmlformats.org/officeDocument/2006/relationships/queryTable" Target="../queryTables/queryTable608.xml"/><Relationship Id="rId52" Type="http://schemas.openxmlformats.org/officeDocument/2006/relationships/queryTable" Target="../queryTables/queryTable616.xml"/><Relationship Id="rId4" Type="http://schemas.openxmlformats.org/officeDocument/2006/relationships/queryTable" Target="../queryTables/queryTable568.xml"/><Relationship Id="rId9" Type="http://schemas.openxmlformats.org/officeDocument/2006/relationships/queryTable" Target="../queryTables/queryTable573.xml"/><Relationship Id="rId14" Type="http://schemas.openxmlformats.org/officeDocument/2006/relationships/queryTable" Target="../queryTables/queryTable578.xml"/><Relationship Id="rId22" Type="http://schemas.openxmlformats.org/officeDocument/2006/relationships/queryTable" Target="../queryTables/queryTable586.xml"/><Relationship Id="rId27" Type="http://schemas.openxmlformats.org/officeDocument/2006/relationships/queryTable" Target="../queryTables/queryTable591.xml"/><Relationship Id="rId30" Type="http://schemas.openxmlformats.org/officeDocument/2006/relationships/queryTable" Target="../queryTables/queryTable594.xml"/><Relationship Id="rId35" Type="http://schemas.openxmlformats.org/officeDocument/2006/relationships/queryTable" Target="../queryTables/queryTable599.xml"/><Relationship Id="rId43" Type="http://schemas.openxmlformats.org/officeDocument/2006/relationships/queryTable" Target="../queryTables/queryTable607.xml"/><Relationship Id="rId48" Type="http://schemas.openxmlformats.org/officeDocument/2006/relationships/queryTable" Target="../queryTables/queryTable612.xml"/><Relationship Id="rId8" Type="http://schemas.openxmlformats.org/officeDocument/2006/relationships/queryTable" Target="../queryTables/queryTable572.xml"/><Relationship Id="rId51" Type="http://schemas.openxmlformats.org/officeDocument/2006/relationships/queryTable" Target="../queryTables/queryTable615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23.xml"/><Relationship Id="rId13" Type="http://schemas.openxmlformats.org/officeDocument/2006/relationships/queryTable" Target="../queryTables/queryTable628.xml"/><Relationship Id="rId18" Type="http://schemas.openxmlformats.org/officeDocument/2006/relationships/queryTable" Target="../queryTables/queryTable633.xml"/><Relationship Id="rId26" Type="http://schemas.openxmlformats.org/officeDocument/2006/relationships/queryTable" Target="../queryTables/queryTable641.xml"/><Relationship Id="rId39" Type="http://schemas.openxmlformats.org/officeDocument/2006/relationships/queryTable" Target="../queryTables/queryTable654.xml"/><Relationship Id="rId3" Type="http://schemas.openxmlformats.org/officeDocument/2006/relationships/queryTable" Target="../queryTables/queryTable618.xml"/><Relationship Id="rId21" Type="http://schemas.openxmlformats.org/officeDocument/2006/relationships/queryTable" Target="../queryTables/queryTable636.xml"/><Relationship Id="rId34" Type="http://schemas.openxmlformats.org/officeDocument/2006/relationships/queryTable" Target="../queryTables/queryTable649.xml"/><Relationship Id="rId42" Type="http://schemas.openxmlformats.org/officeDocument/2006/relationships/queryTable" Target="../queryTables/queryTable657.xml"/><Relationship Id="rId47" Type="http://schemas.openxmlformats.org/officeDocument/2006/relationships/queryTable" Target="../queryTables/queryTable662.xml"/><Relationship Id="rId7" Type="http://schemas.openxmlformats.org/officeDocument/2006/relationships/queryTable" Target="../queryTables/queryTable622.xml"/><Relationship Id="rId12" Type="http://schemas.openxmlformats.org/officeDocument/2006/relationships/queryTable" Target="../queryTables/queryTable627.xml"/><Relationship Id="rId17" Type="http://schemas.openxmlformats.org/officeDocument/2006/relationships/queryTable" Target="../queryTables/queryTable632.xml"/><Relationship Id="rId25" Type="http://schemas.openxmlformats.org/officeDocument/2006/relationships/queryTable" Target="../queryTables/queryTable640.xml"/><Relationship Id="rId33" Type="http://schemas.openxmlformats.org/officeDocument/2006/relationships/queryTable" Target="../queryTables/queryTable648.xml"/><Relationship Id="rId38" Type="http://schemas.openxmlformats.org/officeDocument/2006/relationships/queryTable" Target="../queryTables/queryTable653.xml"/><Relationship Id="rId46" Type="http://schemas.openxmlformats.org/officeDocument/2006/relationships/queryTable" Target="../queryTables/queryTable661.xml"/><Relationship Id="rId2" Type="http://schemas.openxmlformats.org/officeDocument/2006/relationships/queryTable" Target="../queryTables/queryTable617.xml"/><Relationship Id="rId16" Type="http://schemas.openxmlformats.org/officeDocument/2006/relationships/queryTable" Target="../queryTables/queryTable631.xml"/><Relationship Id="rId20" Type="http://schemas.openxmlformats.org/officeDocument/2006/relationships/queryTable" Target="../queryTables/queryTable635.xml"/><Relationship Id="rId29" Type="http://schemas.openxmlformats.org/officeDocument/2006/relationships/queryTable" Target="../queryTables/queryTable644.xml"/><Relationship Id="rId41" Type="http://schemas.openxmlformats.org/officeDocument/2006/relationships/queryTable" Target="../queryTables/queryTable656.xml"/><Relationship Id="rId1" Type="http://schemas.openxmlformats.org/officeDocument/2006/relationships/printerSettings" Target="../printerSettings/printerSettings8.bin"/><Relationship Id="rId6" Type="http://schemas.openxmlformats.org/officeDocument/2006/relationships/queryTable" Target="../queryTables/queryTable621.xml"/><Relationship Id="rId11" Type="http://schemas.openxmlformats.org/officeDocument/2006/relationships/queryTable" Target="../queryTables/queryTable626.xml"/><Relationship Id="rId24" Type="http://schemas.openxmlformats.org/officeDocument/2006/relationships/queryTable" Target="../queryTables/queryTable639.xml"/><Relationship Id="rId32" Type="http://schemas.openxmlformats.org/officeDocument/2006/relationships/queryTable" Target="../queryTables/queryTable647.xml"/><Relationship Id="rId37" Type="http://schemas.openxmlformats.org/officeDocument/2006/relationships/queryTable" Target="../queryTables/queryTable652.xml"/><Relationship Id="rId40" Type="http://schemas.openxmlformats.org/officeDocument/2006/relationships/queryTable" Target="../queryTables/queryTable655.xml"/><Relationship Id="rId45" Type="http://schemas.openxmlformats.org/officeDocument/2006/relationships/queryTable" Target="../queryTables/queryTable660.xml"/><Relationship Id="rId5" Type="http://schemas.openxmlformats.org/officeDocument/2006/relationships/queryTable" Target="../queryTables/queryTable620.xml"/><Relationship Id="rId15" Type="http://schemas.openxmlformats.org/officeDocument/2006/relationships/queryTable" Target="../queryTables/queryTable630.xml"/><Relationship Id="rId23" Type="http://schemas.openxmlformats.org/officeDocument/2006/relationships/queryTable" Target="../queryTables/queryTable638.xml"/><Relationship Id="rId28" Type="http://schemas.openxmlformats.org/officeDocument/2006/relationships/queryTable" Target="../queryTables/queryTable643.xml"/><Relationship Id="rId36" Type="http://schemas.openxmlformats.org/officeDocument/2006/relationships/queryTable" Target="../queryTables/queryTable651.xml"/><Relationship Id="rId10" Type="http://schemas.openxmlformats.org/officeDocument/2006/relationships/queryTable" Target="../queryTables/queryTable625.xml"/><Relationship Id="rId19" Type="http://schemas.openxmlformats.org/officeDocument/2006/relationships/queryTable" Target="../queryTables/queryTable634.xml"/><Relationship Id="rId31" Type="http://schemas.openxmlformats.org/officeDocument/2006/relationships/queryTable" Target="../queryTables/queryTable646.xml"/><Relationship Id="rId44" Type="http://schemas.openxmlformats.org/officeDocument/2006/relationships/queryTable" Target="../queryTables/queryTable659.xml"/><Relationship Id="rId4" Type="http://schemas.openxmlformats.org/officeDocument/2006/relationships/queryTable" Target="../queryTables/queryTable619.xml"/><Relationship Id="rId9" Type="http://schemas.openxmlformats.org/officeDocument/2006/relationships/queryTable" Target="../queryTables/queryTable624.xml"/><Relationship Id="rId14" Type="http://schemas.openxmlformats.org/officeDocument/2006/relationships/queryTable" Target="../queryTables/queryTable629.xml"/><Relationship Id="rId22" Type="http://schemas.openxmlformats.org/officeDocument/2006/relationships/queryTable" Target="../queryTables/queryTable637.xml"/><Relationship Id="rId27" Type="http://schemas.openxmlformats.org/officeDocument/2006/relationships/queryTable" Target="../queryTables/queryTable642.xml"/><Relationship Id="rId30" Type="http://schemas.openxmlformats.org/officeDocument/2006/relationships/queryTable" Target="../queryTables/queryTable645.xml"/><Relationship Id="rId35" Type="http://schemas.openxmlformats.org/officeDocument/2006/relationships/queryTable" Target="../queryTables/queryTable650.xml"/><Relationship Id="rId43" Type="http://schemas.openxmlformats.org/officeDocument/2006/relationships/queryTable" Target="../queryTables/queryTable658.xml"/></Relationships>
</file>

<file path=xl/worksheets/_rels/sheet3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675.xml"/><Relationship Id="rId18" Type="http://schemas.openxmlformats.org/officeDocument/2006/relationships/queryTable" Target="../queryTables/queryTable680.xml"/><Relationship Id="rId26" Type="http://schemas.openxmlformats.org/officeDocument/2006/relationships/queryTable" Target="../queryTables/queryTable688.xml"/><Relationship Id="rId39" Type="http://schemas.openxmlformats.org/officeDocument/2006/relationships/queryTable" Target="../queryTables/queryTable701.xml"/><Relationship Id="rId3" Type="http://schemas.openxmlformats.org/officeDocument/2006/relationships/queryTable" Target="../queryTables/queryTable665.xml"/><Relationship Id="rId21" Type="http://schemas.openxmlformats.org/officeDocument/2006/relationships/queryTable" Target="../queryTables/queryTable683.xml"/><Relationship Id="rId34" Type="http://schemas.openxmlformats.org/officeDocument/2006/relationships/queryTable" Target="../queryTables/queryTable696.xml"/><Relationship Id="rId42" Type="http://schemas.openxmlformats.org/officeDocument/2006/relationships/queryTable" Target="../queryTables/queryTable704.xml"/><Relationship Id="rId47" Type="http://schemas.openxmlformats.org/officeDocument/2006/relationships/queryTable" Target="../queryTables/queryTable709.xml"/><Relationship Id="rId50" Type="http://schemas.openxmlformats.org/officeDocument/2006/relationships/queryTable" Target="../queryTables/queryTable712.xml"/><Relationship Id="rId7" Type="http://schemas.openxmlformats.org/officeDocument/2006/relationships/queryTable" Target="../queryTables/queryTable669.xml"/><Relationship Id="rId12" Type="http://schemas.openxmlformats.org/officeDocument/2006/relationships/queryTable" Target="../queryTables/queryTable674.xml"/><Relationship Id="rId17" Type="http://schemas.openxmlformats.org/officeDocument/2006/relationships/queryTable" Target="../queryTables/queryTable679.xml"/><Relationship Id="rId25" Type="http://schemas.openxmlformats.org/officeDocument/2006/relationships/queryTable" Target="../queryTables/queryTable687.xml"/><Relationship Id="rId33" Type="http://schemas.openxmlformats.org/officeDocument/2006/relationships/queryTable" Target="../queryTables/queryTable695.xml"/><Relationship Id="rId38" Type="http://schemas.openxmlformats.org/officeDocument/2006/relationships/queryTable" Target="../queryTables/queryTable700.xml"/><Relationship Id="rId46" Type="http://schemas.openxmlformats.org/officeDocument/2006/relationships/queryTable" Target="../queryTables/queryTable708.xml"/><Relationship Id="rId2" Type="http://schemas.openxmlformats.org/officeDocument/2006/relationships/queryTable" Target="../queryTables/queryTable664.xml"/><Relationship Id="rId16" Type="http://schemas.openxmlformats.org/officeDocument/2006/relationships/queryTable" Target="../queryTables/queryTable678.xml"/><Relationship Id="rId20" Type="http://schemas.openxmlformats.org/officeDocument/2006/relationships/queryTable" Target="../queryTables/queryTable682.xml"/><Relationship Id="rId29" Type="http://schemas.openxmlformats.org/officeDocument/2006/relationships/queryTable" Target="../queryTables/queryTable691.xml"/><Relationship Id="rId41" Type="http://schemas.openxmlformats.org/officeDocument/2006/relationships/queryTable" Target="../queryTables/queryTable703.xml"/><Relationship Id="rId54" Type="http://schemas.openxmlformats.org/officeDocument/2006/relationships/queryTable" Target="../queryTables/queryTable716.xml"/><Relationship Id="rId1" Type="http://schemas.openxmlformats.org/officeDocument/2006/relationships/queryTable" Target="../queryTables/queryTable663.xml"/><Relationship Id="rId6" Type="http://schemas.openxmlformats.org/officeDocument/2006/relationships/queryTable" Target="../queryTables/queryTable668.xml"/><Relationship Id="rId11" Type="http://schemas.openxmlformats.org/officeDocument/2006/relationships/queryTable" Target="../queryTables/queryTable673.xml"/><Relationship Id="rId24" Type="http://schemas.openxmlformats.org/officeDocument/2006/relationships/queryTable" Target="../queryTables/queryTable686.xml"/><Relationship Id="rId32" Type="http://schemas.openxmlformats.org/officeDocument/2006/relationships/queryTable" Target="../queryTables/queryTable694.xml"/><Relationship Id="rId37" Type="http://schemas.openxmlformats.org/officeDocument/2006/relationships/queryTable" Target="../queryTables/queryTable699.xml"/><Relationship Id="rId40" Type="http://schemas.openxmlformats.org/officeDocument/2006/relationships/queryTable" Target="../queryTables/queryTable702.xml"/><Relationship Id="rId45" Type="http://schemas.openxmlformats.org/officeDocument/2006/relationships/queryTable" Target="../queryTables/queryTable707.xml"/><Relationship Id="rId53" Type="http://schemas.openxmlformats.org/officeDocument/2006/relationships/queryTable" Target="../queryTables/queryTable715.xml"/><Relationship Id="rId5" Type="http://schemas.openxmlformats.org/officeDocument/2006/relationships/queryTable" Target="../queryTables/queryTable667.xml"/><Relationship Id="rId15" Type="http://schemas.openxmlformats.org/officeDocument/2006/relationships/queryTable" Target="../queryTables/queryTable677.xml"/><Relationship Id="rId23" Type="http://schemas.openxmlformats.org/officeDocument/2006/relationships/queryTable" Target="../queryTables/queryTable685.xml"/><Relationship Id="rId28" Type="http://schemas.openxmlformats.org/officeDocument/2006/relationships/queryTable" Target="../queryTables/queryTable690.xml"/><Relationship Id="rId36" Type="http://schemas.openxmlformats.org/officeDocument/2006/relationships/queryTable" Target="../queryTables/queryTable698.xml"/><Relationship Id="rId49" Type="http://schemas.openxmlformats.org/officeDocument/2006/relationships/queryTable" Target="../queryTables/queryTable711.xml"/><Relationship Id="rId10" Type="http://schemas.openxmlformats.org/officeDocument/2006/relationships/queryTable" Target="../queryTables/queryTable672.xml"/><Relationship Id="rId19" Type="http://schemas.openxmlformats.org/officeDocument/2006/relationships/queryTable" Target="../queryTables/queryTable681.xml"/><Relationship Id="rId31" Type="http://schemas.openxmlformats.org/officeDocument/2006/relationships/queryTable" Target="../queryTables/queryTable693.xml"/><Relationship Id="rId44" Type="http://schemas.openxmlformats.org/officeDocument/2006/relationships/queryTable" Target="../queryTables/queryTable706.xml"/><Relationship Id="rId52" Type="http://schemas.openxmlformats.org/officeDocument/2006/relationships/queryTable" Target="../queryTables/queryTable714.xml"/><Relationship Id="rId4" Type="http://schemas.openxmlformats.org/officeDocument/2006/relationships/queryTable" Target="../queryTables/queryTable666.xml"/><Relationship Id="rId9" Type="http://schemas.openxmlformats.org/officeDocument/2006/relationships/queryTable" Target="../queryTables/queryTable671.xml"/><Relationship Id="rId14" Type="http://schemas.openxmlformats.org/officeDocument/2006/relationships/queryTable" Target="../queryTables/queryTable676.xml"/><Relationship Id="rId22" Type="http://schemas.openxmlformats.org/officeDocument/2006/relationships/queryTable" Target="../queryTables/queryTable684.xml"/><Relationship Id="rId27" Type="http://schemas.openxmlformats.org/officeDocument/2006/relationships/queryTable" Target="../queryTables/queryTable689.xml"/><Relationship Id="rId30" Type="http://schemas.openxmlformats.org/officeDocument/2006/relationships/queryTable" Target="../queryTables/queryTable692.xml"/><Relationship Id="rId35" Type="http://schemas.openxmlformats.org/officeDocument/2006/relationships/queryTable" Target="../queryTables/queryTable697.xml"/><Relationship Id="rId43" Type="http://schemas.openxmlformats.org/officeDocument/2006/relationships/queryTable" Target="../queryTables/queryTable705.xml"/><Relationship Id="rId48" Type="http://schemas.openxmlformats.org/officeDocument/2006/relationships/queryTable" Target="../queryTables/queryTable710.xml"/><Relationship Id="rId8" Type="http://schemas.openxmlformats.org/officeDocument/2006/relationships/queryTable" Target="../queryTables/queryTable670.xml"/><Relationship Id="rId51" Type="http://schemas.openxmlformats.org/officeDocument/2006/relationships/queryTable" Target="../queryTables/queryTable71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24.xml"/><Relationship Id="rId13" Type="http://schemas.openxmlformats.org/officeDocument/2006/relationships/queryTable" Target="../queryTables/queryTable729.xml"/><Relationship Id="rId18" Type="http://schemas.openxmlformats.org/officeDocument/2006/relationships/queryTable" Target="../queryTables/queryTable734.xml"/><Relationship Id="rId26" Type="http://schemas.openxmlformats.org/officeDocument/2006/relationships/queryTable" Target="../queryTables/queryTable742.xml"/><Relationship Id="rId3" Type="http://schemas.openxmlformats.org/officeDocument/2006/relationships/queryTable" Target="../queryTables/queryTable719.xml"/><Relationship Id="rId21" Type="http://schemas.openxmlformats.org/officeDocument/2006/relationships/queryTable" Target="../queryTables/queryTable737.xml"/><Relationship Id="rId34" Type="http://schemas.openxmlformats.org/officeDocument/2006/relationships/queryTable" Target="../queryTables/queryTable750.xml"/><Relationship Id="rId7" Type="http://schemas.openxmlformats.org/officeDocument/2006/relationships/queryTable" Target="../queryTables/queryTable723.xml"/><Relationship Id="rId12" Type="http://schemas.openxmlformats.org/officeDocument/2006/relationships/queryTable" Target="../queryTables/queryTable728.xml"/><Relationship Id="rId17" Type="http://schemas.openxmlformats.org/officeDocument/2006/relationships/queryTable" Target="../queryTables/queryTable733.xml"/><Relationship Id="rId25" Type="http://schemas.openxmlformats.org/officeDocument/2006/relationships/queryTable" Target="../queryTables/queryTable741.xml"/><Relationship Id="rId33" Type="http://schemas.openxmlformats.org/officeDocument/2006/relationships/queryTable" Target="../queryTables/queryTable749.xml"/><Relationship Id="rId2" Type="http://schemas.openxmlformats.org/officeDocument/2006/relationships/queryTable" Target="../queryTables/queryTable718.xml"/><Relationship Id="rId16" Type="http://schemas.openxmlformats.org/officeDocument/2006/relationships/queryTable" Target="../queryTables/queryTable732.xml"/><Relationship Id="rId20" Type="http://schemas.openxmlformats.org/officeDocument/2006/relationships/queryTable" Target="../queryTables/queryTable736.xml"/><Relationship Id="rId29" Type="http://schemas.openxmlformats.org/officeDocument/2006/relationships/queryTable" Target="../queryTables/queryTable745.xml"/><Relationship Id="rId1" Type="http://schemas.openxmlformats.org/officeDocument/2006/relationships/queryTable" Target="../queryTables/queryTable717.xml"/><Relationship Id="rId6" Type="http://schemas.openxmlformats.org/officeDocument/2006/relationships/queryTable" Target="../queryTables/queryTable722.xml"/><Relationship Id="rId11" Type="http://schemas.openxmlformats.org/officeDocument/2006/relationships/queryTable" Target="../queryTables/queryTable727.xml"/><Relationship Id="rId24" Type="http://schemas.openxmlformats.org/officeDocument/2006/relationships/queryTable" Target="../queryTables/queryTable740.xml"/><Relationship Id="rId32" Type="http://schemas.openxmlformats.org/officeDocument/2006/relationships/queryTable" Target="../queryTables/queryTable748.xml"/><Relationship Id="rId5" Type="http://schemas.openxmlformats.org/officeDocument/2006/relationships/queryTable" Target="../queryTables/queryTable721.xml"/><Relationship Id="rId15" Type="http://schemas.openxmlformats.org/officeDocument/2006/relationships/queryTable" Target="../queryTables/queryTable731.xml"/><Relationship Id="rId23" Type="http://schemas.openxmlformats.org/officeDocument/2006/relationships/queryTable" Target="../queryTables/queryTable739.xml"/><Relationship Id="rId28" Type="http://schemas.openxmlformats.org/officeDocument/2006/relationships/queryTable" Target="../queryTables/queryTable744.xml"/><Relationship Id="rId10" Type="http://schemas.openxmlformats.org/officeDocument/2006/relationships/queryTable" Target="../queryTables/queryTable726.xml"/><Relationship Id="rId19" Type="http://schemas.openxmlformats.org/officeDocument/2006/relationships/queryTable" Target="../queryTables/queryTable735.xml"/><Relationship Id="rId31" Type="http://schemas.openxmlformats.org/officeDocument/2006/relationships/queryTable" Target="../queryTables/queryTable747.xml"/><Relationship Id="rId4" Type="http://schemas.openxmlformats.org/officeDocument/2006/relationships/queryTable" Target="../queryTables/queryTable720.xml"/><Relationship Id="rId9" Type="http://schemas.openxmlformats.org/officeDocument/2006/relationships/queryTable" Target="../queryTables/queryTable725.xml"/><Relationship Id="rId14" Type="http://schemas.openxmlformats.org/officeDocument/2006/relationships/queryTable" Target="../queryTables/queryTable730.xml"/><Relationship Id="rId22" Type="http://schemas.openxmlformats.org/officeDocument/2006/relationships/queryTable" Target="../queryTables/queryTable738.xml"/><Relationship Id="rId27" Type="http://schemas.openxmlformats.org/officeDocument/2006/relationships/queryTable" Target="../queryTables/queryTable743.xml"/><Relationship Id="rId30" Type="http://schemas.openxmlformats.org/officeDocument/2006/relationships/queryTable" Target="../queryTables/queryTable746.xml"/><Relationship Id="rId35" Type="http://schemas.openxmlformats.org/officeDocument/2006/relationships/queryTable" Target="../queryTables/queryTable751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59.xml"/><Relationship Id="rId13" Type="http://schemas.openxmlformats.org/officeDocument/2006/relationships/queryTable" Target="../queryTables/queryTable764.xml"/><Relationship Id="rId18" Type="http://schemas.openxmlformats.org/officeDocument/2006/relationships/queryTable" Target="../queryTables/queryTable769.xml"/><Relationship Id="rId26" Type="http://schemas.openxmlformats.org/officeDocument/2006/relationships/queryTable" Target="../queryTables/queryTable777.xml"/><Relationship Id="rId3" Type="http://schemas.openxmlformats.org/officeDocument/2006/relationships/queryTable" Target="../queryTables/queryTable754.xml"/><Relationship Id="rId21" Type="http://schemas.openxmlformats.org/officeDocument/2006/relationships/queryTable" Target="../queryTables/queryTable772.xml"/><Relationship Id="rId34" Type="http://schemas.openxmlformats.org/officeDocument/2006/relationships/queryTable" Target="../queryTables/queryTable785.xml"/><Relationship Id="rId7" Type="http://schemas.openxmlformats.org/officeDocument/2006/relationships/queryTable" Target="../queryTables/queryTable758.xml"/><Relationship Id="rId12" Type="http://schemas.openxmlformats.org/officeDocument/2006/relationships/queryTable" Target="../queryTables/queryTable763.xml"/><Relationship Id="rId17" Type="http://schemas.openxmlformats.org/officeDocument/2006/relationships/queryTable" Target="../queryTables/queryTable768.xml"/><Relationship Id="rId25" Type="http://schemas.openxmlformats.org/officeDocument/2006/relationships/queryTable" Target="../queryTables/queryTable776.xml"/><Relationship Id="rId33" Type="http://schemas.openxmlformats.org/officeDocument/2006/relationships/queryTable" Target="../queryTables/queryTable784.xml"/><Relationship Id="rId2" Type="http://schemas.openxmlformats.org/officeDocument/2006/relationships/queryTable" Target="../queryTables/queryTable753.xml"/><Relationship Id="rId16" Type="http://schemas.openxmlformats.org/officeDocument/2006/relationships/queryTable" Target="../queryTables/queryTable767.xml"/><Relationship Id="rId20" Type="http://schemas.openxmlformats.org/officeDocument/2006/relationships/queryTable" Target="../queryTables/queryTable771.xml"/><Relationship Id="rId29" Type="http://schemas.openxmlformats.org/officeDocument/2006/relationships/queryTable" Target="../queryTables/queryTable780.xml"/><Relationship Id="rId1" Type="http://schemas.openxmlformats.org/officeDocument/2006/relationships/queryTable" Target="../queryTables/queryTable752.xml"/><Relationship Id="rId6" Type="http://schemas.openxmlformats.org/officeDocument/2006/relationships/queryTable" Target="../queryTables/queryTable757.xml"/><Relationship Id="rId11" Type="http://schemas.openxmlformats.org/officeDocument/2006/relationships/queryTable" Target="../queryTables/queryTable762.xml"/><Relationship Id="rId24" Type="http://schemas.openxmlformats.org/officeDocument/2006/relationships/queryTable" Target="../queryTables/queryTable775.xml"/><Relationship Id="rId32" Type="http://schemas.openxmlformats.org/officeDocument/2006/relationships/queryTable" Target="../queryTables/queryTable783.xml"/><Relationship Id="rId5" Type="http://schemas.openxmlformats.org/officeDocument/2006/relationships/queryTable" Target="../queryTables/queryTable756.xml"/><Relationship Id="rId15" Type="http://schemas.openxmlformats.org/officeDocument/2006/relationships/queryTable" Target="../queryTables/queryTable766.xml"/><Relationship Id="rId23" Type="http://schemas.openxmlformats.org/officeDocument/2006/relationships/queryTable" Target="../queryTables/queryTable774.xml"/><Relationship Id="rId28" Type="http://schemas.openxmlformats.org/officeDocument/2006/relationships/queryTable" Target="../queryTables/queryTable779.xml"/><Relationship Id="rId10" Type="http://schemas.openxmlformats.org/officeDocument/2006/relationships/queryTable" Target="../queryTables/queryTable761.xml"/><Relationship Id="rId19" Type="http://schemas.openxmlformats.org/officeDocument/2006/relationships/queryTable" Target="../queryTables/queryTable770.xml"/><Relationship Id="rId31" Type="http://schemas.openxmlformats.org/officeDocument/2006/relationships/queryTable" Target="../queryTables/queryTable782.xml"/><Relationship Id="rId4" Type="http://schemas.openxmlformats.org/officeDocument/2006/relationships/queryTable" Target="../queryTables/queryTable755.xml"/><Relationship Id="rId9" Type="http://schemas.openxmlformats.org/officeDocument/2006/relationships/queryTable" Target="../queryTables/queryTable760.xml"/><Relationship Id="rId14" Type="http://schemas.openxmlformats.org/officeDocument/2006/relationships/queryTable" Target="../queryTables/queryTable765.xml"/><Relationship Id="rId22" Type="http://schemas.openxmlformats.org/officeDocument/2006/relationships/queryTable" Target="../queryTables/queryTable773.xml"/><Relationship Id="rId27" Type="http://schemas.openxmlformats.org/officeDocument/2006/relationships/queryTable" Target="../queryTables/queryTable778.xml"/><Relationship Id="rId30" Type="http://schemas.openxmlformats.org/officeDocument/2006/relationships/queryTable" Target="../queryTables/queryTable781.xml"/><Relationship Id="rId35" Type="http://schemas.openxmlformats.org/officeDocument/2006/relationships/queryTable" Target="../queryTables/queryTable786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94.xml"/><Relationship Id="rId13" Type="http://schemas.openxmlformats.org/officeDocument/2006/relationships/queryTable" Target="../queryTables/queryTable799.xml"/><Relationship Id="rId18" Type="http://schemas.openxmlformats.org/officeDocument/2006/relationships/queryTable" Target="../queryTables/queryTable804.xml"/><Relationship Id="rId26" Type="http://schemas.openxmlformats.org/officeDocument/2006/relationships/queryTable" Target="../queryTables/queryTable812.xml"/><Relationship Id="rId3" Type="http://schemas.openxmlformats.org/officeDocument/2006/relationships/queryTable" Target="../queryTables/queryTable789.xml"/><Relationship Id="rId21" Type="http://schemas.openxmlformats.org/officeDocument/2006/relationships/queryTable" Target="../queryTables/queryTable807.xml"/><Relationship Id="rId7" Type="http://schemas.openxmlformats.org/officeDocument/2006/relationships/queryTable" Target="../queryTables/queryTable793.xml"/><Relationship Id="rId12" Type="http://schemas.openxmlformats.org/officeDocument/2006/relationships/queryTable" Target="../queryTables/queryTable798.xml"/><Relationship Id="rId17" Type="http://schemas.openxmlformats.org/officeDocument/2006/relationships/queryTable" Target="../queryTables/queryTable803.xml"/><Relationship Id="rId25" Type="http://schemas.openxmlformats.org/officeDocument/2006/relationships/queryTable" Target="../queryTables/queryTable811.xml"/><Relationship Id="rId2" Type="http://schemas.openxmlformats.org/officeDocument/2006/relationships/queryTable" Target="../queryTables/queryTable788.xml"/><Relationship Id="rId16" Type="http://schemas.openxmlformats.org/officeDocument/2006/relationships/queryTable" Target="../queryTables/queryTable802.xml"/><Relationship Id="rId20" Type="http://schemas.openxmlformats.org/officeDocument/2006/relationships/queryTable" Target="../queryTables/queryTable806.xml"/><Relationship Id="rId29" Type="http://schemas.openxmlformats.org/officeDocument/2006/relationships/queryTable" Target="../queryTables/queryTable815.xml"/><Relationship Id="rId1" Type="http://schemas.openxmlformats.org/officeDocument/2006/relationships/queryTable" Target="../queryTables/queryTable787.xml"/><Relationship Id="rId6" Type="http://schemas.openxmlformats.org/officeDocument/2006/relationships/queryTable" Target="../queryTables/queryTable792.xml"/><Relationship Id="rId11" Type="http://schemas.openxmlformats.org/officeDocument/2006/relationships/queryTable" Target="../queryTables/queryTable797.xml"/><Relationship Id="rId24" Type="http://schemas.openxmlformats.org/officeDocument/2006/relationships/queryTable" Target="../queryTables/queryTable810.xml"/><Relationship Id="rId5" Type="http://schemas.openxmlformats.org/officeDocument/2006/relationships/queryTable" Target="../queryTables/queryTable791.xml"/><Relationship Id="rId15" Type="http://schemas.openxmlformats.org/officeDocument/2006/relationships/queryTable" Target="../queryTables/queryTable801.xml"/><Relationship Id="rId23" Type="http://schemas.openxmlformats.org/officeDocument/2006/relationships/queryTable" Target="../queryTables/queryTable809.xml"/><Relationship Id="rId28" Type="http://schemas.openxmlformats.org/officeDocument/2006/relationships/queryTable" Target="../queryTables/queryTable814.xml"/><Relationship Id="rId10" Type="http://schemas.openxmlformats.org/officeDocument/2006/relationships/queryTable" Target="../queryTables/queryTable796.xml"/><Relationship Id="rId19" Type="http://schemas.openxmlformats.org/officeDocument/2006/relationships/queryTable" Target="../queryTables/queryTable805.xml"/><Relationship Id="rId31" Type="http://schemas.openxmlformats.org/officeDocument/2006/relationships/queryTable" Target="../queryTables/queryTable817.xml"/><Relationship Id="rId4" Type="http://schemas.openxmlformats.org/officeDocument/2006/relationships/queryTable" Target="../queryTables/queryTable790.xml"/><Relationship Id="rId9" Type="http://schemas.openxmlformats.org/officeDocument/2006/relationships/queryTable" Target="../queryTables/queryTable795.xml"/><Relationship Id="rId14" Type="http://schemas.openxmlformats.org/officeDocument/2006/relationships/queryTable" Target="../queryTables/queryTable800.xml"/><Relationship Id="rId22" Type="http://schemas.openxmlformats.org/officeDocument/2006/relationships/queryTable" Target="../queryTables/queryTable808.xml"/><Relationship Id="rId27" Type="http://schemas.openxmlformats.org/officeDocument/2006/relationships/queryTable" Target="../queryTables/queryTable813.xml"/><Relationship Id="rId30" Type="http://schemas.openxmlformats.org/officeDocument/2006/relationships/queryTable" Target="../queryTables/queryTable81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25.xml"/><Relationship Id="rId13" Type="http://schemas.openxmlformats.org/officeDocument/2006/relationships/queryTable" Target="../queryTables/queryTable830.xml"/><Relationship Id="rId3" Type="http://schemas.openxmlformats.org/officeDocument/2006/relationships/queryTable" Target="../queryTables/queryTable820.xml"/><Relationship Id="rId7" Type="http://schemas.openxmlformats.org/officeDocument/2006/relationships/queryTable" Target="../queryTables/queryTable824.xml"/><Relationship Id="rId12" Type="http://schemas.openxmlformats.org/officeDocument/2006/relationships/queryTable" Target="../queryTables/queryTable829.xml"/><Relationship Id="rId2" Type="http://schemas.openxmlformats.org/officeDocument/2006/relationships/queryTable" Target="../queryTables/queryTable819.xml"/><Relationship Id="rId16" Type="http://schemas.openxmlformats.org/officeDocument/2006/relationships/queryTable" Target="../queryTables/queryTable833.xml"/><Relationship Id="rId1" Type="http://schemas.openxmlformats.org/officeDocument/2006/relationships/queryTable" Target="../queryTables/queryTable818.xml"/><Relationship Id="rId6" Type="http://schemas.openxmlformats.org/officeDocument/2006/relationships/queryTable" Target="../queryTables/queryTable823.xml"/><Relationship Id="rId11" Type="http://schemas.openxmlformats.org/officeDocument/2006/relationships/queryTable" Target="../queryTables/queryTable828.xml"/><Relationship Id="rId5" Type="http://schemas.openxmlformats.org/officeDocument/2006/relationships/queryTable" Target="../queryTables/queryTable822.xml"/><Relationship Id="rId15" Type="http://schemas.openxmlformats.org/officeDocument/2006/relationships/queryTable" Target="../queryTables/queryTable832.xml"/><Relationship Id="rId10" Type="http://schemas.openxmlformats.org/officeDocument/2006/relationships/queryTable" Target="../queryTables/queryTable827.xml"/><Relationship Id="rId4" Type="http://schemas.openxmlformats.org/officeDocument/2006/relationships/queryTable" Target="../queryTables/queryTable821.xml"/><Relationship Id="rId9" Type="http://schemas.openxmlformats.org/officeDocument/2006/relationships/queryTable" Target="../queryTables/queryTable826.xml"/><Relationship Id="rId14" Type="http://schemas.openxmlformats.org/officeDocument/2006/relationships/queryTable" Target="../queryTables/queryTable8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elcomeSheet">
    <tabColor theme="7"/>
  </sheetPr>
  <dimension ref="A1:K34"/>
  <sheetViews>
    <sheetView showGridLines="0" zoomScale="85" zoomScaleNormal="85" workbookViewId="0">
      <selection activeCell="H32" sqref="H32"/>
    </sheetView>
  </sheetViews>
  <sheetFormatPr defaultColWidth="0" defaultRowHeight="21" zeroHeight="1" x14ac:dyDescent="0.35"/>
  <cols>
    <col min="1" max="11" width="8.81640625" style="89" customWidth="1"/>
    <col min="12" max="16384" width="8.81640625" style="89" hidden="1"/>
  </cols>
  <sheetData>
    <row r="1" ht="14.5" customHeight="1" x14ac:dyDescent="0.35"/>
    <row r="2" ht="14.5" customHeight="1" x14ac:dyDescent="0.35"/>
    <row r="3" ht="14.5" customHeight="1" x14ac:dyDescent="0.35"/>
    <row r="4" ht="14.5" customHeight="1" x14ac:dyDescent="0.35"/>
    <row r="5" ht="14.5" customHeight="1" x14ac:dyDescent="0.35"/>
    <row r="6" ht="14.5" customHeight="1" x14ac:dyDescent="0.35"/>
    <row r="7" ht="14.5" customHeight="1" x14ac:dyDescent="0.35"/>
    <row r="8" ht="14.5" customHeight="1" x14ac:dyDescent="0.35"/>
    <row r="9" ht="14.5" customHeight="1" x14ac:dyDescent="0.35"/>
    <row r="10" ht="14.5" customHeight="1" x14ac:dyDescent="0.35"/>
    <row r="11" ht="14.5" customHeight="1" x14ac:dyDescent="0.35"/>
    <row r="12" ht="14.5" customHeight="1" x14ac:dyDescent="0.35"/>
    <row r="13" ht="14.5" customHeight="1" x14ac:dyDescent="0.35"/>
    <row r="14" ht="14.5" customHeight="1" x14ac:dyDescent="0.35"/>
    <row r="15" ht="14.5" customHeight="1" x14ac:dyDescent="0.35"/>
    <row r="16" ht="14.5" customHeight="1" x14ac:dyDescent="0.35"/>
    <row r="17" spans="6:7" ht="14.5" customHeight="1" x14ac:dyDescent="0.35"/>
    <row r="18" spans="6:7" ht="14.5" customHeight="1" x14ac:dyDescent="0.35">
      <c r="F18"/>
    </row>
    <row r="19" spans="6:7" ht="14.5" customHeight="1" x14ac:dyDescent="0.35"/>
    <row r="20" spans="6:7" ht="14.5" customHeight="1" x14ac:dyDescent="0.35"/>
    <row r="21" spans="6:7" ht="14.5" customHeight="1" x14ac:dyDescent="0.35"/>
    <row r="22" spans="6:7" ht="14.5" customHeight="1" x14ac:dyDescent="0.35"/>
    <row r="23" spans="6:7" ht="14.5" customHeight="1" x14ac:dyDescent="0.35">
      <c r="G23"/>
    </row>
    <row r="24" spans="6:7" ht="14.5" customHeight="1" x14ac:dyDescent="0.35"/>
    <row r="25" spans="6:7" ht="14.5" customHeight="1" x14ac:dyDescent="0.35"/>
    <row r="26" spans="6:7" ht="14.5" customHeight="1" x14ac:dyDescent="0.35">
      <c r="G26" s="90"/>
    </row>
    <row r="27" spans="6:7" ht="14.5" customHeight="1" x14ac:dyDescent="0.35"/>
    <row r="28" spans="6:7" ht="14.5" customHeight="1" x14ac:dyDescent="0.35"/>
    <row r="29" spans="6:7" ht="14.5" customHeight="1" x14ac:dyDescent="0.35"/>
    <row r="30" spans="6:7" ht="14.5" customHeight="1" x14ac:dyDescent="0.35"/>
    <row r="31" spans="6:7" ht="14.5" customHeight="1" x14ac:dyDescent="0.35"/>
    <row r="32" spans="6:7" ht="14.5" customHeight="1" x14ac:dyDescent="0.35"/>
    <row r="33" ht="14.5" customHeight="1" x14ac:dyDescent="0.35"/>
    <row r="34" ht="14.5" customHeight="1" x14ac:dyDescent="0.35"/>
  </sheetData>
  <pageMargins left="0.7" right="0.7" top="0.75" bottom="0.75" header="0.3" footer="0.3"/>
  <pageSetup paperSize="256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llDay">
    <tabColor theme="7" tint="0.59999389629810485"/>
    <pageSetUpPr fitToPage="1"/>
  </sheetPr>
  <dimension ref="A1:AO124"/>
  <sheetViews>
    <sheetView showGridLines="0" tabSelected="1" topLeftCell="A25" zoomScale="70" zoomScaleNormal="70" workbookViewId="0">
      <selection activeCell="M50" sqref="M50:O50"/>
    </sheetView>
  </sheetViews>
  <sheetFormatPr defaultColWidth="0" defaultRowHeight="0" customHeight="1" zeroHeight="1" x14ac:dyDescent="0.35"/>
  <cols>
    <col min="1" max="1" width="14.453125" style="50" customWidth="1"/>
    <col min="2" max="2" width="26.1796875" style="50" customWidth="1"/>
    <col min="3" max="3" width="19.1796875" style="50" customWidth="1"/>
    <col min="4" max="18" width="15.6328125" style="50" customWidth="1"/>
    <col min="19" max="19" width="9.1796875" style="95" hidden="1" customWidth="1"/>
    <col min="20" max="22" width="9.1796875" style="50" customWidth="1"/>
    <col min="23" max="23" width="11" style="1" hidden="1" customWidth="1"/>
    <col min="24" max="31" width="0" style="1" hidden="1" customWidth="1"/>
    <col min="32" max="32" width="11" style="1" hidden="1" customWidth="1"/>
    <col min="33" max="41" width="0" style="1" hidden="1" customWidth="1"/>
    <col min="42" max="16384" width="9.1796875" style="1" hidden="1"/>
  </cols>
  <sheetData>
    <row r="1" spans="1:22" ht="38" customHeight="1" thickBot="1" x14ac:dyDescent="0.4">
      <c r="B1" s="313"/>
      <c r="C1" s="313"/>
      <c r="D1" s="313"/>
      <c r="E1" s="313"/>
      <c r="F1" s="313"/>
      <c r="G1" s="313"/>
      <c r="H1" s="313"/>
      <c r="J1" s="86"/>
    </row>
    <row r="2" spans="1:22" ht="38" customHeight="1" thickTop="1" x14ac:dyDescent="0.35">
      <c r="B2" s="118"/>
      <c r="C2" s="332" t="s">
        <v>222</v>
      </c>
      <c r="D2" s="333"/>
      <c r="E2" s="334"/>
      <c r="F2" s="118"/>
      <c r="G2" s="339" t="s">
        <v>215</v>
      </c>
      <c r="H2" s="340"/>
      <c r="I2" s="341">
        <v>44092</v>
      </c>
      <c r="J2" s="342"/>
      <c r="K2" s="113"/>
      <c r="Q2" s="50">
        <f ca="1">SUM(INDIRECT(D$12&amp;".PPA"&amp;"!$H:$H"))</f>
        <v>568.28388888888844</v>
      </c>
      <c r="T2" s="95"/>
      <c r="U2" s="95"/>
      <c r="V2" s="95"/>
    </row>
    <row r="3" spans="1:22" ht="38" customHeight="1" x14ac:dyDescent="0.35">
      <c r="B3" s="118"/>
      <c r="C3" s="332" t="s">
        <v>221</v>
      </c>
      <c r="D3" s="333"/>
      <c r="E3" s="334"/>
      <c r="F3" s="118"/>
      <c r="G3" s="335" t="s">
        <v>218</v>
      </c>
      <c r="H3" s="336"/>
      <c r="I3" s="337">
        <v>44092</v>
      </c>
      <c r="J3" s="338"/>
      <c r="K3" s="113"/>
      <c r="T3" s="95"/>
      <c r="U3" s="95"/>
      <c r="V3" s="95"/>
    </row>
    <row r="4" spans="1:22" ht="38" customHeight="1" x14ac:dyDescent="0.35">
      <c r="B4" s="119"/>
      <c r="C4" s="351" t="s">
        <v>217</v>
      </c>
      <c r="D4" s="352"/>
      <c r="E4" s="353"/>
      <c r="F4" s="118"/>
      <c r="G4" s="328" t="s">
        <v>216</v>
      </c>
      <c r="H4" s="329"/>
      <c r="I4" s="343" t="s">
        <v>245</v>
      </c>
      <c r="J4" s="344"/>
      <c r="K4" s="114"/>
      <c r="L4" s="55"/>
      <c r="T4" s="95"/>
      <c r="U4" s="95"/>
      <c r="V4" s="95"/>
    </row>
    <row r="5" spans="1:22" ht="38" customHeight="1" thickBot="1" x14ac:dyDescent="0.4">
      <c r="B5" s="119"/>
      <c r="C5" s="351" t="s">
        <v>220</v>
      </c>
      <c r="D5" s="352"/>
      <c r="E5" s="353"/>
      <c r="F5" s="118"/>
      <c r="G5" s="330" t="s">
        <v>219</v>
      </c>
      <c r="H5" s="331"/>
      <c r="I5" s="326" t="s">
        <v>243</v>
      </c>
      <c r="J5" s="327"/>
      <c r="K5" s="113"/>
      <c r="T5" s="282"/>
      <c r="U5" s="282"/>
      <c r="V5" s="95"/>
    </row>
    <row r="6" spans="1:22" ht="38" customHeight="1" thickTop="1" thickBot="1" x14ac:dyDescent="0.4">
      <c r="B6" s="314"/>
      <c r="C6" s="315"/>
      <c r="D6" s="316"/>
      <c r="E6" s="117"/>
      <c r="F6" s="118"/>
      <c r="G6" s="118"/>
      <c r="H6" s="118"/>
      <c r="I6" s="118"/>
      <c r="J6" s="113"/>
      <c r="K6" s="113"/>
      <c r="T6" s="282"/>
      <c r="U6" s="282"/>
      <c r="V6" s="95"/>
    </row>
    <row r="7" spans="1:22" ht="25.5" customHeight="1" thickTop="1" x14ac:dyDescent="0.35">
      <c r="A7" s="115"/>
      <c r="B7" s="379" t="str">
        <f>G4&amp;" Hourly Tracker - "&amp; TEXT(EndDate,"MM/DD/YY")&amp;" OFD"</f>
        <v>Start Time: Hourly Tracker - 09/18/20 OFD</v>
      </c>
      <c r="C7" s="380"/>
      <c r="D7" s="380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0"/>
      <c r="R7" s="380"/>
      <c r="S7" s="288"/>
      <c r="T7" s="283"/>
      <c r="U7" s="282"/>
      <c r="V7" s="95"/>
    </row>
    <row r="8" spans="1:22" ht="27" customHeight="1" x14ac:dyDescent="0.35">
      <c r="A8" s="115"/>
      <c r="B8" s="381" t="s">
        <v>21</v>
      </c>
      <c r="C8" s="382"/>
      <c r="D8" s="382"/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/>
      <c r="Q8" s="382"/>
      <c r="R8" s="382"/>
      <c r="S8" s="288"/>
      <c r="T8" s="284"/>
      <c r="U8" s="95"/>
      <c r="V8" s="95"/>
    </row>
    <row r="9" spans="1:22" ht="35" customHeight="1" x14ac:dyDescent="0.35">
      <c r="A9" s="115"/>
      <c r="B9" s="365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288"/>
      <c r="T9" s="284"/>
      <c r="U9" s="95"/>
      <c r="V9" s="95"/>
    </row>
    <row r="10" spans="1:22" ht="14.5" customHeight="1" x14ac:dyDescent="0.35">
      <c r="A10" s="356"/>
      <c r="B10" s="367"/>
      <c r="C10" s="368"/>
      <c r="D10" s="368"/>
      <c r="E10" s="368"/>
      <c r="F10" s="368"/>
      <c r="G10" s="368"/>
      <c r="H10" s="368"/>
      <c r="I10" s="368"/>
      <c r="J10" s="368"/>
      <c r="K10" s="368"/>
      <c r="L10" s="368"/>
      <c r="M10" s="368"/>
      <c r="N10" s="368"/>
      <c r="O10" s="368"/>
      <c r="P10" s="368"/>
      <c r="Q10" s="368"/>
      <c r="R10" s="368"/>
      <c r="S10" s="288"/>
      <c r="T10" s="285"/>
    </row>
    <row r="11" spans="1:22" ht="14.5" customHeight="1" x14ac:dyDescent="0.35">
      <c r="A11" s="356"/>
      <c r="B11" s="369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288"/>
      <c r="T11" s="285"/>
    </row>
    <row r="12" spans="1:22" ht="37.5" customHeight="1" x14ac:dyDescent="0.35">
      <c r="A12" s="356"/>
      <c r="B12" s="290"/>
      <c r="C12" s="39"/>
      <c r="D12" s="383" t="s">
        <v>231</v>
      </c>
      <c r="E12" s="322"/>
      <c r="F12" s="322"/>
      <c r="G12" s="383" t="s">
        <v>232</v>
      </c>
      <c r="H12" s="322"/>
      <c r="I12" s="384"/>
      <c r="J12" s="322" t="s">
        <v>92</v>
      </c>
      <c r="K12" s="322"/>
      <c r="L12" s="322"/>
      <c r="M12" s="383" t="s">
        <v>233</v>
      </c>
      <c r="N12" s="322"/>
      <c r="O12" s="384"/>
      <c r="P12" s="322" t="s">
        <v>234</v>
      </c>
      <c r="Q12" s="322"/>
      <c r="R12" s="384"/>
      <c r="S12" s="288"/>
      <c r="T12" s="285"/>
    </row>
    <row r="13" spans="1:22" ht="29" customHeight="1" x14ac:dyDescent="0.35">
      <c r="A13" s="356"/>
      <c r="B13" s="354" t="s">
        <v>237</v>
      </c>
      <c r="C13" s="355"/>
      <c r="D13" s="325" t="s">
        <v>238</v>
      </c>
      <c r="E13" s="322"/>
      <c r="F13" s="322"/>
      <c r="G13" s="323" t="s">
        <v>239</v>
      </c>
      <c r="H13" s="322"/>
      <c r="I13" s="324"/>
      <c r="J13" s="322" t="s">
        <v>241</v>
      </c>
      <c r="K13" s="322"/>
      <c r="L13" s="322"/>
      <c r="M13" s="323" t="s">
        <v>240</v>
      </c>
      <c r="N13" s="322"/>
      <c r="O13" s="324"/>
      <c r="P13" s="322" t="s">
        <v>242</v>
      </c>
      <c r="Q13" s="322"/>
      <c r="R13" s="322"/>
      <c r="S13" s="288"/>
      <c r="T13" s="285"/>
    </row>
    <row r="14" spans="1:22" ht="25" customHeight="1" x14ac:dyDescent="0.35">
      <c r="A14" s="356"/>
      <c r="B14" s="291"/>
      <c r="C14" s="321"/>
      <c r="D14" s="116"/>
      <c r="E14" s="116"/>
      <c r="F14" s="116"/>
      <c r="G14" s="303"/>
      <c r="H14" s="116"/>
      <c r="I14" s="304"/>
      <c r="J14" s="378" t="s">
        <v>76</v>
      </c>
      <c r="K14" s="378"/>
      <c r="L14" s="378"/>
      <c r="M14" s="303"/>
      <c r="N14" s="116"/>
      <c r="O14" s="304"/>
      <c r="P14" s="116"/>
      <c r="Q14" s="116"/>
      <c r="R14" s="116"/>
      <c r="S14" s="288"/>
      <c r="T14" s="285"/>
    </row>
    <row r="15" spans="1:22" ht="25" customHeight="1" x14ac:dyDescent="0.35">
      <c r="A15" s="115"/>
      <c r="B15" s="357" t="s">
        <v>39</v>
      </c>
      <c r="C15" s="358"/>
      <c r="D15" s="486">
        <f ca="1">IFERROR(IF(SUMIF(INDIRECT(D$12&amp;".PPA"&amp;"!$D:$D"),$S15,INDIRECT(D$12&amp;".PPA"&amp;"!$F:$F"))=0,"",SUMIF(INDIRECT(D$12&amp;".PPA"&amp;"!$D:$D"),$S15,INDIRECT(D$12&amp;".PPA"&amp;"!$F:$F"))),"")</f>
        <v>21778</v>
      </c>
      <c r="E15" s="480"/>
      <c r="F15" s="481"/>
      <c r="G15" s="486">
        <f ca="1">IFERROR(IF(SUMIF(INDIRECT(G$12&amp;".PPA"&amp;"!$D:$D"),$S15,INDIRECT(G$12&amp;".PPA"&amp;"!$F:$F"))=0,"",SUMIF(INDIRECT(G$12&amp;".PPA"&amp;"!$D:$D"),$S15,INDIRECT(G$12&amp;".PPA"&amp;"!$F:$F"))),"")</f>
        <v>21778</v>
      </c>
      <c r="H15" s="480"/>
      <c r="I15" s="481"/>
      <c r="J15" s="486">
        <f t="shared" ref="J15:R15" ca="1" si="0">IFERROR(IF(SUMIF(INDIRECT(J$12&amp;".PPA"&amp;"!$D:$D"),$S15,INDIRECT(J$12&amp;".PPA"&amp;"!$F:$F"))=0,"",SUMIF(INDIRECT(J$12&amp;".PPA"&amp;"!$D:$D"),$S15,INDIRECT(J$12&amp;".PPA"&amp;"!$F:$F"))),"")</f>
        <v>2108</v>
      </c>
      <c r="K15" s="480"/>
      <c r="L15" s="481"/>
      <c r="M15" s="486" t="str">
        <f t="shared" ref="M15:R15" ca="1" si="1">IFERROR(IF(SUMIF(INDIRECT(M$12&amp;".PPA"&amp;"!$D:$D"),$S15,INDIRECT(M$12&amp;".PPA"&amp;"!$F:$F"))=0,"",SUMIF(INDIRECT(M$12&amp;".PPA"&amp;"!$D:$D"),$S15,INDIRECT(M$12&amp;".PPA"&amp;"!$F:$F"))),"")</f>
        <v/>
      </c>
      <c r="N15" s="480"/>
      <c r="O15" s="481"/>
      <c r="P15" s="486" t="str">
        <f t="shared" ref="P15:R15" ca="1" si="2">IFERROR(IF(SUMIF(INDIRECT(P$12&amp;".PPA"&amp;"!$D:$D"),$S15,INDIRECT(P$12&amp;".PPA"&amp;"!$F:$F"))=0,"",SUMIF(INDIRECT(P$12&amp;".PPA"&amp;"!$D:$D"),$S15,INDIRECT(P$12&amp;".PPA"&amp;"!$F:$F"))),"")</f>
        <v/>
      </c>
      <c r="Q15" s="480"/>
      <c r="R15" s="481"/>
      <c r="S15" s="288">
        <v>100020</v>
      </c>
      <c r="T15" s="285"/>
    </row>
    <row r="16" spans="1:22" ht="25" customHeight="1" x14ac:dyDescent="0.35">
      <c r="A16" s="115"/>
      <c r="B16" s="357" t="s">
        <v>41</v>
      </c>
      <c r="C16" s="358"/>
      <c r="D16" s="485">
        <f ca="1">IF(D15="","",SUM(D$15:$D15))</f>
        <v>21778</v>
      </c>
      <c r="E16" s="483"/>
      <c r="F16" s="484"/>
      <c r="G16" s="482">
        <f ca="1">IF(G15="","",SUM($D$15:F15))</f>
        <v>21778</v>
      </c>
      <c r="H16" s="483"/>
      <c r="I16" s="484"/>
      <c r="J16" s="482">
        <f ca="1">IF(J15="","",SUM($D$15:I15))</f>
        <v>43556</v>
      </c>
      <c r="K16" s="483"/>
      <c r="L16" s="484"/>
      <c r="M16" s="482" t="str">
        <f ca="1">IF(M15="","",SUM($D$15:L15))</f>
        <v/>
      </c>
      <c r="N16" s="483"/>
      <c r="O16" s="484"/>
      <c r="P16" s="482" t="str">
        <f ca="1">IF(P15="","",SUM($D$15:O15))</f>
        <v/>
      </c>
      <c r="Q16" s="483"/>
      <c r="R16" s="483"/>
      <c r="S16" s="288">
        <v>100020</v>
      </c>
      <c r="T16" s="285"/>
    </row>
    <row r="17" spans="2:24" ht="25" customHeight="1" x14ac:dyDescent="0.35">
      <c r="B17" s="292"/>
      <c r="C17" s="40"/>
      <c r="D17" s="292"/>
      <c r="E17" s="295"/>
      <c r="F17" s="295"/>
      <c r="G17" s="296"/>
      <c r="H17" s="295"/>
      <c r="I17" s="297"/>
      <c r="J17" s="364" t="s">
        <v>77</v>
      </c>
      <c r="K17" s="364"/>
      <c r="L17" s="364"/>
      <c r="M17" s="296"/>
      <c r="N17" s="295"/>
      <c r="O17" s="297"/>
      <c r="P17" s="295"/>
      <c r="Q17" s="295"/>
      <c r="R17" s="295"/>
      <c r="S17" s="288">
        <v>100440</v>
      </c>
      <c r="T17" s="285"/>
    </row>
    <row r="18" spans="2:24" ht="25" customHeight="1" x14ac:dyDescent="0.35">
      <c r="B18" s="357" t="s">
        <v>42</v>
      </c>
      <c r="C18" s="358"/>
      <c r="D18" s="486">
        <f ca="1">IFERROR(IF(SUMIF(INDIRECT(D$12&amp;".PPA"&amp;"!$D:$D"),$S18,INDIRECT(D$12&amp;".PPA"&amp;"!$F:$F"))=0,"",SUMIF(INDIRECT(D$12&amp;".PPA"&amp;"!$D:$D"),$S18,INDIRECT(D$12&amp;".PPA"&amp;"!$F:$F"))),"")</f>
        <v>19414</v>
      </c>
      <c r="E18" s="480"/>
      <c r="F18" s="481"/>
      <c r="G18" s="486">
        <f ca="1">IFERROR(IF(SUMIF(INDIRECT(G$12&amp;".PPA"&amp;"!$D:$D"),$S18,INDIRECT(G$12&amp;".PPA"&amp;"!$F:$F"))=0,"",SUMIF(INDIRECT(G$12&amp;".PPA"&amp;"!$D:$D"),$S18,INDIRECT(G$12&amp;".PPA"&amp;"!$F:$F"))),"")</f>
        <v>19414</v>
      </c>
      <c r="H18" s="480"/>
      <c r="I18" s="481"/>
      <c r="J18" s="486">
        <f t="shared" ref="J18:R18" ca="1" si="3">IFERROR(IF(SUMIF(INDIRECT(J$12&amp;".PPA"&amp;"!$D:$D"),$S18,INDIRECT(J$12&amp;".PPA"&amp;"!$F:$F"))=0,"",SUMIF(INDIRECT(J$12&amp;".PPA"&amp;"!$D:$D"),$S18,INDIRECT(J$12&amp;".PPA"&amp;"!$F:$F"))),"")</f>
        <v>2066</v>
      </c>
      <c r="K18" s="480"/>
      <c r="L18" s="481"/>
      <c r="M18" s="486" t="str">
        <f t="shared" ref="M18:R18" ca="1" si="4">IFERROR(IF(SUMIF(INDIRECT(M$12&amp;".PPA"&amp;"!$D:$D"),$S18,INDIRECT(M$12&amp;".PPA"&amp;"!$F:$F"))=0,"",SUMIF(INDIRECT(M$12&amp;".PPA"&amp;"!$D:$D"),$S18,INDIRECT(M$12&amp;".PPA"&amp;"!$F:$F"))),"")</f>
        <v/>
      </c>
      <c r="N18" s="480"/>
      <c r="O18" s="481"/>
      <c r="P18" s="486" t="str">
        <f t="shared" ref="P18:R18" ca="1" si="5">IFERROR(IF(SUMIF(INDIRECT(P$12&amp;".PPA"&amp;"!$D:$D"),$S18,INDIRECT(P$12&amp;".PPA"&amp;"!$F:$F"))=0,"",SUMIF(INDIRECT(P$12&amp;".PPA"&amp;"!$D:$D"),$S18,INDIRECT(P$12&amp;".PPA"&amp;"!$F:$F"))),"")</f>
        <v/>
      </c>
      <c r="Q18" s="480"/>
      <c r="R18" s="481"/>
      <c r="S18" s="288">
        <v>100440</v>
      </c>
      <c r="T18" s="285"/>
      <c r="U18" s="83"/>
      <c r="V18" s="83"/>
      <c r="W18"/>
      <c r="X18"/>
    </row>
    <row r="19" spans="2:24" ht="25" customHeight="1" x14ac:dyDescent="0.35">
      <c r="B19" s="357" t="s">
        <v>41</v>
      </c>
      <c r="C19" s="358"/>
      <c r="D19" s="485">
        <f ca="1">IF(OR(D18=0,D18=""),"",SUM($D18:D$18))</f>
        <v>19414</v>
      </c>
      <c r="E19" s="483"/>
      <c r="F19" s="484"/>
      <c r="G19" s="482">
        <f ca="1">IF(OR(G18=0,G18=""),"",SUM($D18:G$18))</f>
        <v>38828</v>
      </c>
      <c r="H19" s="483"/>
      <c r="I19" s="484"/>
      <c r="J19" s="482">
        <f ca="1">IF(OR(J18=0,J18=""),"",SUM($D18:J$18))</f>
        <v>40894</v>
      </c>
      <c r="K19" s="483"/>
      <c r="L19" s="484"/>
      <c r="M19" s="482" t="str">
        <f ca="1">IF(OR(M18=0,M18=""),"",SUM($D18:M$18))</f>
        <v/>
      </c>
      <c r="N19" s="483"/>
      <c r="O19" s="484"/>
      <c r="P19" s="482" t="str">
        <f ca="1">IF(OR(P18=0,P18=""),"",SUM($D18:P$18))</f>
        <v/>
      </c>
      <c r="Q19" s="483"/>
      <c r="R19" s="483"/>
      <c r="S19" s="288"/>
      <c r="T19" s="285"/>
      <c r="U19" s="83"/>
      <c r="V19" s="83"/>
      <c r="W19"/>
      <c r="X19"/>
    </row>
    <row r="20" spans="2:24" ht="25" customHeight="1" x14ac:dyDescent="0.35">
      <c r="B20" s="292"/>
      <c r="C20" s="40"/>
      <c r="D20" s="292"/>
      <c r="E20" s="295"/>
      <c r="F20" s="295"/>
      <c r="G20" s="296"/>
      <c r="H20" s="295"/>
      <c r="I20" s="297"/>
      <c r="J20" s="364" t="s">
        <v>43</v>
      </c>
      <c r="K20" s="364"/>
      <c r="L20" s="364"/>
      <c r="M20" s="296"/>
      <c r="N20" s="295"/>
      <c r="O20" s="297"/>
      <c r="P20" s="295"/>
      <c r="Q20" s="295"/>
      <c r="R20" s="295"/>
      <c r="S20" s="288"/>
      <c r="T20" s="285"/>
      <c r="U20" s="83"/>
      <c r="V20" s="83"/>
      <c r="W20"/>
      <c r="X20"/>
    </row>
    <row r="21" spans="2:24" ht="25" customHeight="1" x14ac:dyDescent="0.35">
      <c r="B21" s="357" t="s">
        <v>43</v>
      </c>
      <c r="C21" s="358"/>
      <c r="D21" s="487">
        <f ca="1">IFERROR(D16-D19,"")</f>
        <v>2364</v>
      </c>
      <c r="E21" s="488"/>
      <c r="F21" s="488"/>
      <c r="G21" s="490">
        <f t="shared" ref="G21:R21" ca="1" si="6">IFERROR(G16-G19,"")</f>
        <v>-17050</v>
      </c>
      <c r="H21" s="488"/>
      <c r="I21" s="489"/>
      <c r="J21" s="490">
        <f t="shared" ref="J21:R21" ca="1" si="7">IFERROR(J16-J19,"")</f>
        <v>2662</v>
      </c>
      <c r="K21" s="488"/>
      <c r="L21" s="489"/>
      <c r="M21" s="490" t="str">
        <f t="shared" ref="M21:R21" ca="1" si="8">IFERROR(M16-M19,"")</f>
        <v/>
      </c>
      <c r="N21" s="488"/>
      <c r="O21" s="489"/>
      <c r="P21" s="488" t="str">
        <f t="shared" ref="P21:R21" ca="1" si="9">IFERROR(P16-P19,"")</f>
        <v/>
      </c>
      <c r="Q21" s="488"/>
      <c r="R21" s="489"/>
      <c r="S21" s="288"/>
      <c r="T21" s="285"/>
      <c r="V21" s="83"/>
      <c r="W21"/>
      <c r="X21"/>
    </row>
    <row r="22" spans="2:24" ht="25" customHeight="1" x14ac:dyDescent="0.35">
      <c r="B22" s="292"/>
      <c r="C22" s="295"/>
      <c r="D22" s="318" t="s">
        <v>5</v>
      </c>
      <c r="E22" s="317" t="s">
        <v>235</v>
      </c>
      <c r="F22" s="300" t="s">
        <v>109</v>
      </c>
      <c r="G22" s="299" t="s">
        <v>5</v>
      </c>
      <c r="H22" s="317" t="s">
        <v>235</v>
      </c>
      <c r="I22" s="300" t="s">
        <v>109</v>
      </c>
      <c r="J22" s="299" t="s">
        <v>5</v>
      </c>
      <c r="K22" s="317" t="s">
        <v>235</v>
      </c>
      <c r="L22" s="300" t="s">
        <v>109</v>
      </c>
      <c r="M22" s="299" t="s">
        <v>5</v>
      </c>
      <c r="N22" s="317" t="s">
        <v>235</v>
      </c>
      <c r="O22" s="300" t="s">
        <v>109</v>
      </c>
      <c r="P22" s="299" t="s">
        <v>5</v>
      </c>
      <c r="Q22" s="317" t="s">
        <v>235</v>
      </c>
      <c r="R22" s="320" t="s">
        <v>109</v>
      </c>
      <c r="S22" s="288"/>
      <c r="T22" s="285"/>
      <c r="V22" s="83"/>
      <c r="W22"/>
      <c r="X22"/>
    </row>
    <row r="23" spans="2:24" ht="25" customHeight="1" x14ac:dyDescent="0.35">
      <c r="B23" s="349" t="s">
        <v>15</v>
      </c>
      <c r="C23" s="350"/>
      <c r="D23" s="21">
        <f ca="1">IFERROR(IF(SUMIF(INDIRECT(PickStageRange&amp;".PPA"&amp;"!$D:$D"),$S23,INDIRECT(PickStageRange&amp;".PPA"&amp;"!$H:$H"))=0,"",SUMIF(INDIRECT(PickStageRange&amp;".PPA"&amp;"!$D:$D"),$S23,INDIRECT(PickStageRange&amp;".PPA"&amp;"!$H:$H"))),"")</f>
        <v>9.8308333333333309</v>
      </c>
      <c r="E23" s="21">
        <f ca="1">IFERROR($D23/ABS(INT(MID(PickStageStart,1,2)) - INT(MID(PickStageEnd,1,2))),"")</f>
        <v>3.2769444444444438</v>
      </c>
      <c r="F23" s="21">
        <f ca="1">IFERROR(IF(SUMIF(INDIRECT(D$12&amp;".PPA"&amp;"!$D:$D"),$S23,INDIRECT(D$12&amp;".PPA"&amp;"!$I:$I"))=0,"",(SUMIF(INDIRECT(D$12&amp;".PPA"&amp;"!$D:$D"),$S23,INDIRECT(D$12&amp;".PPA"&amp;"!$F:$F"))) / (SUMIF(INDIRECT(D$12&amp;".PPA"&amp;"!$D:$D"),$S23,INDIRECT(D$12&amp;".PPA"&amp;"!$H:$H")))),"")</f>
        <v>2215.2750699330345</v>
      </c>
      <c r="G23" s="307">
        <f ca="1">IFERROR(IF(SUMIF(INDIRECT(MCORange&amp;".PPA"&amp;"!$D:$D"),$S23,INDIRECT(MCORange&amp;".PPA"&amp;"!$H:$H"))=0,"",SUMIF(INDIRECT(MCORange&amp;".PPA"&amp;"!$D:$D"),$S23,INDIRECT(MCORange&amp;".PPA"&amp;"!$H:$H"))),"")</f>
        <v>9.8308333333333309</v>
      </c>
      <c r="H23" s="22">
        <f ca="1">IFERROR($G23/ABS(INT(MID(sortBStart,1,2)) - INT(MID(sortBEnd,1,2))),"")</f>
        <v>3.2769444444444438</v>
      </c>
      <c r="I23" s="308">
        <f t="shared" ref="I23:I27" ca="1" si="10">IFERROR(IF(SUMIF(INDIRECT(G$12&amp;".PPA"&amp;"!$D:$D"),$S23,INDIRECT(G$12&amp;".PPA"&amp;"!$I:$I"))=0,"",(SUMIF(INDIRECT(G$12&amp;".PPA"&amp;"!$D:$D"),$S23,INDIRECT(G$12&amp;".PPA"&amp;"!$F:$F"))) / (SUMIF(INDIRECT(G$12&amp;".PPA"&amp;"!$D:$D"),$S23,INDIRECT(G$12&amp;".PPA"&amp;"!$H:$H")))),"")</f>
        <v>2215.2750699330345</v>
      </c>
      <c r="J23" s="21" t="str">
        <f ca="1">IFERROR(IF(SUMIF(INDIRECT(PFSDRange&amp;".PPA"&amp;"!$D:$D"),$S23,INDIRECT(PFSDRange&amp;".PPA"&amp;"!$H:$H"))=0,"",SUMIF(INDIRECT(PFSDRange&amp;".PPA"&amp;"!$D:$D"),$S23,INDIRECT(PFSDRange&amp;".PPA"&amp;"!$H:$H"))),"")</f>
        <v/>
      </c>
      <c r="K23" s="22" t="str">
        <f ca="1">IFERROR($J23/ABS(INT(MID(pfsdStart,1,2)) - INT(MID(pfsdEnd,1,2))),"")</f>
        <v/>
      </c>
      <c r="L23" s="21" t="str">
        <f t="shared" ref="L23:L27" ca="1" si="11">IFERROR(IF(SUMIF(INDIRECT(J$12&amp;".PPA"&amp;"!$D:$D"),$S23,INDIRECT(J$12&amp;".PPA"&amp;"!$I:$I"))=0,"",(SUMIF(INDIRECT(J$12&amp;".PPA"&amp;"!$D:$D"),$S23,INDIRECT(J$12&amp;".PPA"&amp;"!$F:$F"))) / (SUMIF(INDIRECT(J$12&amp;".PPA"&amp;"!$D:$D"),$S23,INDIRECT(J$12&amp;".PPA"&amp;"!$H:$H")))),"")</f>
        <v/>
      </c>
      <c r="M23" s="307" t="str">
        <f ca="1">IFERROR(IF(SUMIF(INDIRECT(Cycle0Range&amp;".PPA"&amp;"!$D:$D"),$S23,INDIRECT(Cycle0Range&amp;".PPA"&amp;"!$H:$H"))=0,"",SUMIF(INDIRECT(Cycle0Range&amp;".PPA"&amp;"!$D:$D"),$S23,INDIRECT(Cycle0Range&amp;".PPA"&amp;"!$H:$H"))),"")</f>
        <v/>
      </c>
      <c r="N23" s="22" t="str">
        <f ca="1">IFERROR($M23/ABS(INT(MID(cycle0Start,1,2)) - INT(MID(cycle0End,1,2))),"")</f>
        <v/>
      </c>
      <c r="O23" s="308" t="str">
        <f t="shared" ref="O23:O27" ca="1" si="12">IFERROR(IF(SUMIF(INDIRECT(M$12&amp;".PPA"&amp;"!$D:$D"),$S23,INDIRECT(M$12&amp;".PPA"&amp;"!$I:$I"))=0,"",(SUMIF(INDIRECT(M$12&amp;".PPA"&amp;"!$D:$D"),$S23,INDIRECT(M$12&amp;".PPA"&amp;"!$F:$F"))) / (SUMIF(INDIRECT(M$12&amp;".PPA"&amp;"!$D:$D"),$S23,INDIRECT(M$12&amp;".PPA"&amp;"!$H:$H")))),"")</f>
        <v/>
      </c>
      <c r="P23" s="21" t="str">
        <f ca="1">IFERROR(IF(SUMIF(INDIRECT(Cycle1Range&amp;".PPA"&amp;"!$D:$D"),$S23,INDIRECT(Cycle1Range&amp;".PPA"&amp;"!$H:$H"))=0,"",SUMIF(INDIRECT(Cycle1Range&amp;".PPA"&amp;"!$D:$D"),$S23,INDIRECT(Cycle1Range&amp;".PPA"&amp;"!$H:$H"))),"")</f>
        <v/>
      </c>
      <c r="Q23" s="21" t="str">
        <f ca="1">IFERROR($P23/ABS(INT(MID(cycle1Start,1,2)) - INT(MID(cycle1End,1,2))),"")</f>
        <v/>
      </c>
      <c r="R23" s="21" t="str">
        <f t="shared" ref="R23:R27" ca="1" si="13">IFERROR(IF(SUMIF(INDIRECT(P$12&amp;".PPA"&amp;"!$D:$D"),$S23,INDIRECT(P$12&amp;".PPA"&amp;"!$I:$I"))=0,"",(SUMIF(INDIRECT(P$12&amp;".PPA"&amp;"!$D:$D"),$S23,INDIRECT(P$12&amp;".PPA"&amp;"!$F:$F"))) / (SUMIF(INDIRECT(P$12&amp;".PPA"&amp;"!$D:$D"),$S23,INDIRECT(P$12&amp;".PPA"&amp;"!$H:$H")))),"")</f>
        <v/>
      </c>
      <c r="S23" s="288">
        <v>100405</v>
      </c>
      <c r="T23" s="285"/>
      <c r="V23" s="83"/>
      <c r="W23"/>
      <c r="X23"/>
    </row>
    <row r="24" spans="2:24" ht="25" customHeight="1" x14ac:dyDescent="0.35">
      <c r="B24" s="349" t="s">
        <v>6</v>
      </c>
      <c r="C24" s="350"/>
      <c r="D24" s="20">
        <f ca="1">IFERROR(IF(SUMIF(INDIRECT(PickStageRange&amp;".PPA"&amp;"!$D:$D"),$S24,INDIRECT(PickStageRange&amp;".PPA"&amp;"!$H:$H"))=0,"",SUMIF(INDIRECT(PickStageRange&amp;".PPA"&amp;"!$D:$D"),$S24,INDIRECT(PickStageRange&amp;".PPA"&amp;"!$H:$H"))),"")</f>
        <v>18.5</v>
      </c>
      <c r="E24" s="20">
        <f ca="1">IFERROR($D24/ABS(INT(MID(PickStageStart,1,2)) - INT(MID(PickStageEnd,1,2))),"")</f>
        <v>6.166666666666667</v>
      </c>
      <c r="F24" s="20">
        <f ca="1">IFERROR(IF(SUMIF(INDIRECT(D$12&amp;".PPA"&amp;"!$D:$D"),$S24,INDIRECT(D$12&amp;".PPA"&amp;"!$I:$I"))=0,"",(SUMIF(INDIRECT(D$12&amp;".PPA"&amp;"!$D:$D"),$S24,INDIRECT(D$12&amp;".PPA"&amp;"!$F:$F"))) / (SUMIF(INDIRECT(D$12&amp;".PPA"&amp;"!$D:$D"),$S24,INDIRECT(D$12&amp;".PPA"&amp;"!$H:$H")))),"")</f>
        <v>1177.1891891891892</v>
      </c>
      <c r="G24" s="311">
        <f ca="1">IFERROR(IF(SUMIF(INDIRECT(MCORange&amp;".PPA"&amp;"!$D:$D"),$S24,INDIRECT(MCORange&amp;".PPA"&amp;"!$H:$H"))=0,"",SUMIF(INDIRECT(MCORange&amp;".PPA"&amp;"!$D:$D"),$S24,INDIRECT(MCORange&amp;".PPA"&amp;"!$H:$H"))),"")</f>
        <v>18.5</v>
      </c>
      <c r="H24" s="20">
        <f ca="1">IFERROR($G24/ABS(INT(MID(sortBStart,1,2)) - INT(MID(sortBEnd,1,2))),"")</f>
        <v>6.166666666666667</v>
      </c>
      <c r="I24" s="312">
        <f t="shared" ca="1" si="10"/>
        <v>1177.1891891891892</v>
      </c>
      <c r="J24" s="20">
        <f ca="1">IFERROR(IF(SUMIF(INDIRECT(PFSDRange&amp;".PPA"&amp;"!$D:$D"),$S24,INDIRECT(PFSDRange&amp;".PPA"&amp;"!$H:$H"))=0,"",SUMIF(INDIRECT(PFSDRange&amp;".PPA"&amp;"!$D:$D"),$S24,INDIRECT(PFSDRange&amp;".PPA"&amp;"!$H:$H"))),"")</f>
        <v>0.5</v>
      </c>
      <c r="K24" s="20">
        <f ca="1">IFERROR($J24/ABS(INT(MID(pfsdStart,1,2)) - INT(MID(pfsdEnd,1,2))),"")</f>
        <v>0.16666666666666666</v>
      </c>
      <c r="L24" s="20">
        <f t="shared" ca="1" si="11"/>
        <v>4216</v>
      </c>
      <c r="M24" s="311" t="str">
        <f ca="1">IFERROR(IF(SUMIF(INDIRECT(Cycle0Range&amp;".PPA"&amp;"!$D:$D"),$S24,INDIRECT(Cycle0Range&amp;".PPA"&amp;"!$H:$H"))=0,"",SUMIF(INDIRECT(Cycle0Range&amp;".PPA"&amp;"!$D:$D"),$S24,INDIRECT(Cycle0Range&amp;".PPA"&amp;"!$H:$H"))),"")</f>
        <v/>
      </c>
      <c r="N24" s="20" t="str">
        <f ca="1">IFERROR($M24/ABS(INT(MID(cycle0Start,1,2)) - INT(MID(cycle0End,1,2))),"")</f>
        <v/>
      </c>
      <c r="O24" s="312" t="str">
        <f t="shared" ca="1" si="12"/>
        <v/>
      </c>
      <c r="P24" s="20" t="str">
        <f ca="1">IFERROR(IF(SUMIF(INDIRECT(Cycle1Range&amp;".PPA"&amp;"!$D:$D"),$S24,INDIRECT(Cycle1Range&amp;".PPA"&amp;"!$H:$H"))=0,"",SUMIF(INDIRECT(Cycle1Range&amp;".PPA"&amp;"!$D:$D"),$S24,INDIRECT(Cycle1Range&amp;".PPA"&amp;"!$H:$H"))),"")</f>
        <v/>
      </c>
      <c r="Q24" s="20" t="str">
        <f ca="1">IFERROR($P24/ABS(INT(MID(cycle1Start,1,2)) - INT(MID(cycle1End,1,2))),"")</f>
        <v/>
      </c>
      <c r="R24" s="20" t="str">
        <f t="shared" ca="1" si="13"/>
        <v/>
      </c>
      <c r="S24" s="288">
        <v>100400</v>
      </c>
      <c r="T24" s="285"/>
    </row>
    <row r="25" spans="2:24" ht="25" customHeight="1" x14ac:dyDescent="0.35">
      <c r="B25" s="349" t="s">
        <v>7</v>
      </c>
      <c r="C25" s="350"/>
      <c r="D25" s="21">
        <f ca="1">IFERROR(IF(SUMIF(INDIRECT(PickStageRange&amp;".PPA"&amp;"!$D:$D"),$S25,INDIRECT(PickStageRange&amp;".PPA"&amp;"!$H:$H"))=0,"",SUMIF(INDIRECT(PickStageRange&amp;".PPA"&amp;"!$D:$D"),$S25,INDIRECT(PickStageRange&amp;".PPA"&amp;"!$H:$H"))),"")</f>
        <v>22.132222222222207</v>
      </c>
      <c r="E25" s="21">
        <f ca="1">IFERROR($D25/ABS(INT(MID(PickStageStart,1,2)) - INT(MID(PickStageEnd,1,2))),"")</f>
        <v>7.3774074074074028</v>
      </c>
      <c r="F25" s="21">
        <f ca="1">IFERROR(IF(SUMIF(INDIRECT(D$12&amp;".PPA"&amp;"!$D:$D"),$S25,INDIRECT(D$12&amp;".PPA"&amp;"!$I:$I"))=0,"",(SUMIF(INDIRECT(D$12&amp;".PPA"&amp;"!$D:$D"),$S25,INDIRECT(D$12&amp;".PPA"&amp;"!$F:$F"))) / (SUMIF(INDIRECT(D$12&amp;".PPA"&amp;"!$D:$D"),$S25,INDIRECT(D$12&amp;".PPA"&amp;"!$H:$H")))),"")</f>
        <v>983.99518048094853</v>
      </c>
      <c r="G25" s="305">
        <f ca="1">IFERROR(IF(SUMIF(INDIRECT(MCORange&amp;".PPA"&amp;"!$D:$D"),$S25,INDIRECT(MCORange&amp;".PPA"&amp;"!$H:$H"))=0,"",SUMIF(INDIRECT(MCORange&amp;".PPA"&amp;"!$D:$D"),$S25,INDIRECT(MCORange&amp;".PPA"&amp;"!$H:$H"))),"")</f>
        <v>22.132222222222207</v>
      </c>
      <c r="H25" s="21">
        <f ca="1">IFERROR($G25/ABS(INT(MID(sortBStart,1,2)) - INT(MID(sortBEnd,1,2))),"")</f>
        <v>7.3774074074074028</v>
      </c>
      <c r="I25" s="306">
        <f t="shared" ca="1" si="10"/>
        <v>983.99518048094853</v>
      </c>
      <c r="J25" s="21">
        <f ca="1">IFERROR(IF(SUMIF(INDIRECT(PFSDRange&amp;".PPA"&amp;"!$D:$D"),$S25,INDIRECT(PFSDRange&amp;".PPA"&amp;"!$H:$H"))=0,"",SUMIF(INDIRECT(PFSDRange&amp;".PPA"&amp;"!$D:$D"),$S25,INDIRECT(PFSDRange&amp;".PPA"&amp;"!$H:$H"))),"")</f>
        <v>3.5902777777777741</v>
      </c>
      <c r="K25" s="21">
        <f ca="1">IFERROR($J25/ABS(INT(MID(pfsdStart,1,2)) - INT(MID(pfsdEnd,1,2))),"")</f>
        <v>1.196759259259258</v>
      </c>
      <c r="L25" s="21">
        <f t="shared" ca="1" si="11"/>
        <v>587.14119922630618</v>
      </c>
      <c r="M25" s="305" t="str">
        <f ca="1">IFERROR(IF(SUMIF(INDIRECT(Cycle0Range&amp;".PPA"&amp;"!$D:$D"),$S25,INDIRECT(Cycle0Range&amp;".PPA"&amp;"!$H:$H"))=0,"",SUMIF(INDIRECT(Cycle0Range&amp;".PPA"&amp;"!$D:$D"),$S25,INDIRECT(Cycle0Range&amp;".PPA"&amp;"!$H:$H"))),"")</f>
        <v/>
      </c>
      <c r="N25" s="21" t="str">
        <f ca="1">IFERROR($M25/ABS(INT(MID(cycle0Start,1,2)) - INT(MID(cycle0End,1,2))),"")</f>
        <v/>
      </c>
      <c r="O25" s="306" t="str">
        <f t="shared" ca="1" si="12"/>
        <v/>
      </c>
      <c r="P25" s="21" t="str">
        <f ca="1">IFERROR(IF(SUMIF(INDIRECT(Cycle1Range&amp;".PPA"&amp;"!$D:$D"),$S25,INDIRECT(Cycle1Range&amp;".PPA"&amp;"!$H:$H"))=0,"",SUMIF(INDIRECT(Cycle1Range&amp;".PPA"&amp;"!$D:$D"),$S25,INDIRECT(Cycle1Range&amp;".PPA"&amp;"!$H:$H"))),"")</f>
        <v/>
      </c>
      <c r="Q25" s="21" t="str">
        <f ca="1">IFERROR($P25/ABS(INT(MID(cycle1Start,1,2)) - INT(MID(cycle1End,1,2))),"")</f>
        <v/>
      </c>
      <c r="R25" s="21" t="str">
        <f t="shared" ca="1" si="13"/>
        <v/>
      </c>
      <c r="S25" s="288">
        <v>100020</v>
      </c>
      <c r="T25" s="285"/>
    </row>
    <row r="26" spans="2:24" ht="25" customHeight="1" x14ac:dyDescent="0.35">
      <c r="B26" s="349" t="s">
        <v>8</v>
      </c>
      <c r="C26" s="350"/>
      <c r="D26" s="20">
        <f ca="1">IFERROR(IF(SUMIF(INDIRECT(PickStageRange&amp;".PPA"&amp;"!$D:$D"),$S26,INDIRECT(PickStageRange&amp;".PPA"&amp;"!$H:$H"))=0,"",SUMIF(INDIRECT(PickStageRange&amp;".PPA"&amp;"!$D:$D"),$S26,INDIRECT(PickStageRange&amp;".PPA"&amp;"!$H:$H"))),"")</f>
        <v>12.25</v>
      </c>
      <c r="E26" s="20">
        <f ca="1">IFERROR($D26/ABS(INT(MID(PickStageStart,1,2)) - INT(MID(PickStageEnd,1,2))),"")</f>
        <v>4.083333333333333</v>
      </c>
      <c r="F26" s="20">
        <f t="shared" ref="F26:F27" ca="1" si="14">IFERROR(IF(SUMIF(INDIRECT(D$12&amp;".PPA"&amp;"!$D:$D"),$S26,INDIRECT(D$12&amp;".PPA"&amp;"!$I:$I"))=0,"",(SUMIF(INDIRECT(D$12&amp;".PPA"&amp;"!$D:$D"),$S26,INDIRECT(D$12&amp;".PPA"&amp;"!$F:$F"))) / (SUMIF(INDIRECT(D$12&amp;".PPA"&amp;"!$D:$D"),$S26,INDIRECT(D$12&amp;".PPA"&amp;"!$H:$H")))),"")</f>
        <v>1777.795918367347</v>
      </c>
      <c r="G26" s="311">
        <f ca="1">IFERROR(IF(SUMIF(INDIRECT(MCORange&amp;".PPA"&amp;"!$D:$D"),$S26,INDIRECT(MCORange&amp;".PPA"&amp;"!$H:$H"))=0,"",SUMIF(INDIRECT(MCORange&amp;".PPA"&amp;"!$D:$D"),$S26,INDIRECT(MCORange&amp;".PPA"&amp;"!$H:$H"))),"")</f>
        <v>12.25</v>
      </c>
      <c r="H26" s="20">
        <f ca="1">IFERROR($G26/ABS(INT(MID(sortBStart,1,2)) - INT(MID(sortBEnd,1,2))),"")</f>
        <v>4.083333333333333</v>
      </c>
      <c r="I26" s="312">
        <f t="shared" ca="1" si="10"/>
        <v>1777.795918367347</v>
      </c>
      <c r="J26" s="20">
        <f ca="1">IFERROR(IF(SUMIF(INDIRECT(PFSDRange&amp;".PPA"&amp;"!$D:$D"),$S26,INDIRECT(PFSDRange&amp;".PPA"&amp;"!$H:$H"))=0,"",SUMIF(INDIRECT(PFSDRange&amp;".PPA"&amp;"!$D:$D"),$S26,INDIRECT(PFSDRange&amp;".PPA"&amp;"!$H:$H"))),"")</f>
        <v>0.25</v>
      </c>
      <c r="K26" s="20">
        <f ca="1">IFERROR($J26/ABS(INT(MID(pfsdStart,1,2)) - INT(MID(pfsdEnd,1,2))),"")</f>
        <v>8.3333333333333329E-2</v>
      </c>
      <c r="L26" s="20">
        <f t="shared" ca="1" si="11"/>
        <v>8432</v>
      </c>
      <c r="M26" s="311" t="str">
        <f ca="1">IFERROR(IF(SUMIF(INDIRECT(Cycle0Range&amp;".PPA"&amp;"!$D:$D"),$S26,INDIRECT(Cycle0Range&amp;".PPA"&amp;"!$H:$H"))=0,"",SUMIF(INDIRECT(Cycle0Range&amp;".PPA"&amp;"!$D:$D"),$S26,INDIRECT(Cycle0Range&amp;".PPA"&amp;"!$H:$H"))),"")</f>
        <v/>
      </c>
      <c r="N26" s="20" t="str">
        <f ca="1">IFERROR($M26/ABS(INT(MID(cycle0Start,1,2)) - INT(MID(cycle0End,1,2))),"")</f>
        <v/>
      </c>
      <c r="O26" s="312" t="str">
        <f t="shared" ca="1" si="12"/>
        <v/>
      </c>
      <c r="P26" s="20" t="str">
        <f ca="1">IFERROR(IF(SUMIF(INDIRECT(Cycle1Range&amp;".PPA"&amp;"!$D:$D"),$S26,INDIRECT(Cycle1Range&amp;".PPA"&amp;"!$H:$H"))=0,"",SUMIF(INDIRECT(Cycle1Range&amp;".PPA"&amp;"!$D:$D"),$S26,INDIRECT(Cycle1Range&amp;".PPA"&amp;"!$H:$H"))),"")</f>
        <v/>
      </c>
      <c r="Q26" s="20" t="str">
        <f ca="1">IFERROR($P26/ABS(INT(MID(cycle1Start,1,2)) - INT(MID(cycle1End,1,2))),"")</f>
        <v/>
      </c>
      <c r="R26" s="20" t="str">
        <f t="shared" ca="1" si="13"/>
        <v/>
      </c>
      <c r="S26" s="288">
        <v>100404</v>
      </c>
      <c r="T26" s="285"/>
    </row>
    <row r="27" spans="2:24" ht="25" customHeight="1" thickBot="1" x14ac:dyDescent="0.4">
      <c r="B27" s="374" t="s">
        <v>9</v>
      </c>
      <c r="C27" s="375"/>
      <c r="D27" s="21">
        <f ca="1">IFERROR(IF(SUMIF(INDIRECT(PickStageRange&amp;".PPA"&amp;"!$D:$D"),$S27,INDIRECT(PickStageRange&amp;".PPA"&amp;"!$H:$H"))=0,"",SUMIF(INDIRECT(PickStageRange&amp;".PPA"&amp;"!$D:$D"),$S27,INDIRECT(PickStageRange&amp;".PPA"&amp;"!$H:$H"))),"")</f>
        <v>15.75</v>
      </c>
      <c r="E27" s="21">
        <f ca="1">IFERROR($D27/ABS(INT(MID(PickStageStart,1,2)) - INT(MID(PickStageEnd,1,2))),"")</f>
        <v>5.25</v>
      </c>
      <c r="F27" s="21">
        <f t="shared" ca="1" si="14"/>
        <v>1382.7301587301588</v>
      </c>
      <c r="G27" s="305">
        <f ca="1">IFERROR(IF(SUMIF(INDIRECT(MCORange&amp;".PPA"&amp;"!$D:$D"),$S27,INDIRECT(MCORange&amp;".PPA"&amp;"!$H:$H"))=0,"",SUMIF(INDIRECT(MCORange&amp;".PPA"&amp;"!$D:$D"),$S27,INDIRECT(MCORange&amp;".PPA"&amp;"!$H:$H"))),"")</f>
        <v>15.75</v>
      </c>
      <c r="H27" s="21">
        <f ca="1">IFERROR($G27/ABS(INT(MID(sortBStart,1,2)) - INT(MID(sortBEnd,1,2))),"")</f>
        <v>5.25</v>
      </c>
      <c r="I27" s="306">
        <f t="shared" ca="1" si="10"/>
        <v>1382.7301587301588</v>
      </c>
      <c r="J27" s="21">
        <f ca="1">IFERROR(IF(SUMIF(INDIRECT(PFSDRange&amp;".PPA"&amp;"!$D:$D"),$S27,INDIRECT(PFSDRange&amp;".PPA"&amp;"!$H:$H"))=0,"",SUMIF(INDIRECT(PFSDRange&amp;".PPA"&amp;"!$D:$D"),$S27,INDIRECT(PFSDRange&amp;".PPA"&amp;"!$H:$H"))),"")</f>
        <v>1.5333333333333301</v>
      </c>
      <c r="K27" s="21">
        <f ca="1">IFERROR($J27/ABS(INT(MID(pfsdStart,1,2)) - INT(MID(pfsdEnd,1,2))),"")</f>
        <v>0.51111111111111007</v>
      </c>
      <c r="L27" s="21">
        <f t="shared" ca="1" si="11"/>
        <v>1374.782608695655</v>
      </c>
      <c r="M27" s="305" t="str">
        <f ca="1">IFERROR(IF(SUMIF(INDIRECT(Cycle0Range&amp;".PPA"&amp;"!$D:$D"),$S27,INDIRECT(Cycle0Range&amp;".PPA"&amp;"!$H:$H"))=0,"",SUMIF(INDIRECT(Cycle0Range&amp;".PPA"&amp;"!$D:$D"),$S27,INDIRECT(Cycle0Range&amp;".PPA"&amp;"!$H:$H"))),"")</f>
        <v/>
      </c>
      <c r="N27" s="21" t="str">
        <f ca="1">IFERROR($M27/ABS(INT(MID(cycle0Start,1,2)) - INT(MID(cycle0End,1,2))),"")</f>
        <v/>
      </c>
      <c r="O27" s="306" t="str">
        <f t="shared" ca="1" si="12"/>
        <v/>
      </c>
      <c r="P27" s="21" t="str">
        <f ca="1">IFERROR(IF(SUMIF(INDIRECT(Cycle1Range&amp;".PPA"&amp;"!$D:$D"),$S27,INDIRECT(Cycle1Range&amp;".PPA"&amp;"!$H:$H"))=0,"",SUMIF(INDIRECT(Cycle1Range&amp;".PPA"&amp;"!$D:$D"),$S27,INDIRECT(Cycle1Range&amp;".PPA"&amp;"!$H:$H"))),"")</f>
        <v/>
      </c>
      <c r="Q27" s="21" t="str">
        <f ca="1">IFERROR($P27/ABS(INT(MID(cycle1Start,1,2)) - INT(MID(cycle1End,1,2))),"")</f>
        <v/>
      </c>
      <c r="R27" s="21" t="str">
        <f t="shared" ca="1" si="13"/>
        <v/>
      </c>
      <c r="S27" s="288">
        <v>100460</v>
      </c>
      <c r="T27" s="285"/>
      <c r="U27" s="55"/>
    </row>
    <row r="28" spans="2:24" ht="25" customHeight="1" x14ac:dyDescent="0.35">
      <c r="B28" s="371" t="s">
        <v>28</v>
      </c>
      <c r="C28" s="372"/>
      <c r="D28" s="280">
        <f t="shared" ref="D28:R28" ca="1" si="15">SUM(D23:D27)</f>
        <v>78.463055555555542</v>
      </c>
      <c r="E28" s="281">
        <f t="shared" ca="1" si="15"/>
        <v>26.154351851851846</v>
      </c>
      <c r="F28" s="281">
        <f t="shared" ca="1" si="15"/>
        <v>7536.985516700679</v>
      </c>
      <c r="G28" s="309">
        <f t="shared" ca="1" si="15"/>
        <v>78.463055555555542</v>
      </c>
      <c r="H28" s="281">
        <f t="shared" ca="1" si="15"/>
        <v>26.154351851851846</v>
      </c>
      <c r="I28" s="310">
        <f t="shared" ca="1" si="15"/>
        <v>7536.985516700679</v>
      </c>
      <c r="J28" s="281">
        <f t="shared" ca="1" si="15"/>
        <v>5.8736111111111047</v>
      </c>
      <c r="K28" s="281">
        <f t="shared" ca="1" si="15"/>
        <v>1.9578703703703679</v>
      </c>
      <c r="L28" s="281">
        <f t="shared" ca="1" si="15"/>
        <v>14609.923807921961</v>
      </c>
      <c r="M28" s="309">
        <f t="shared" ca="1" si="15"/>
        <v>0</v>
      </c>
      <c r="N28" s="281">
        <f t="shared" ca="1" si="15"/>
        <v>0</v>
      </c>
      <c r="O28" s="310">
        <f t="shared" ca="1" si="15"/>
        <v>0</v>
      </c>
      <c r="P28" s="281">
        <f t="shared" ca="1" si="15"/>
        <v>0</v>
      </c>
      <c r="Q28" s="281">
        <f t="shared" ca="1" si="15"/>
        <v>0</v>
      </c>
      <c r="R28" s="281">
        <f t="shared" ca="1" si="15"/>
        <v>0</v>
      </c>
      <c r="S28" s="288"/>
      <c r="T28" s="285"/>
    </row>
    <row r="29" spans="2:24" ht="25" customHeight="1" x14ac:dyDescent="0.35">
      <c r="B29" s="302"/>
      <c r="C29" s="41"/>
      <c r="D29" s="298"/>
      <c r="E29" s="293"/>
      <c r="F29" s="293"/>
      <c r="G29" s="299"/>
      <c r="H29" s="293"/>
      <c r="I29" s="300"/>
      <c r="J29" s="293"/>
      <c r="K29" s="293"/>
      <c r="L29" s="293"/>
      <c r="M29" s="299"/>
      <c r="N29" s="293"/>
      <c r="O29" s="300"/>
      <c r="P29" s="293"/>
      <c r="Q29" s="293"/>
      <c r="R29" s="301"/>
      <c r="S29" s="288"/>
      <c r="T29" s="285"/>
    </row>
    <row r="30" spans="2:24" ht="25" customHeight="1" x14ac:dyDescent="0.35">
      <c r="B30" s="349" t="s">
        <v>1</v>
      </c>
      <c r="C30" s="350"/>
      <c r="D30" s="21">
        <f ca="1">IFERROR(IF(SUMIF(INDIRECT(PickStageRange&amp;".PPA"&amp;"!$D:$D"),$S30,INDIRECT(PickStageRange&amp;".PPA"&amp;"!$H:$H"))=0,"",SUMIF(INDIRECT(PickStageRange&amp;".PPA"&amp;"!$D:$D"),$S30,INDIRECT(PickStageRange&amp;".PPA"&amp;"!$H:$H"))),"")</f>
        <v>61.452777777777698</v>
      </c>
      <c r="E30" s="21">
        <f ca="1">IFERROR($D30/ABS(INT(MID(PickStageStart,1,2)) - INT(MID(PickStageEnd,1,2))),"")</f>
        <v>20.484259259259233</v>
      </c>
      <c r="F30" s="21">
        <f t="shared" ref="F30:F32" ca="1" si="16">IFERROR(IF(SUMIF(INDIRECT(D$12&amp;".PPA"&amp;"!$D:$D"),$S30,INDIRECT(D$12&amp;".PPA"&amp;"!$I:$I"))=0,"",(SUMIF(INDIRECT(D$12&amp;".PPA"&amp;"!$D:$D"),$S30,INDIRECT(D$12&amp;".PPA"&amp;"!$F:$F"))) / (SUMIF(INDIRECT(D$12&amp;".PPA"&amp;"!$D:$D"),$S30,INDIRECT(D$12&amp;".PPA"&amp;"!$H:$H")))),"")</f>
        <v>315.9173710617913</v>
      </c>
      <c r="G30" s="307">
        <f ca="1">IFERROR(IF(SUMIF(INDIRECT(MCORange&amp;".PPA"&amp;"!$D:$D"),$S30,INDIRECT(MCORange&amp;".PPA"&amp;"!$H:$H"))=0,"",SUMIF(INDIRECT(MCORange&amp;".PPA"&amp;"!$D:$D"),$S30,INDIRECT(MCORange&amp;".PPA"&amp;"!$H:$H"))),"")</f>
        <v>61.452777777777698</v>
      </c>
      <c r="H30" s="22">
        <f ca="1">IFERROR($G30/ABS(INT(MID(sortBStart,1,2)) - INT(MID(sortBEnd,1,2))),"")</f>
        <v>20.484259259259233</v>
      </c>
      <c r="I30" s="308">
        <f t="shared" ref="I30:I32" ca="1" si="17">IFERROR(IF(SUMIF(INDIRECT(G$12&amp;".PPA"&amp;"!$D:$D"),$S30,INDIRECT(G$12&amp;".PPA"&amp;"!$I:$I"))=0,"",(SUMIF(INDIRECT(G$12&amp;".PPA"&amp;"!$D:$D"),$S30,INDIRECT(G$12&amp;".PPA"&amp;"!$F:$F"))) / (SUMIF(INDIRECT(G$12&amp;".PPA"&amp;"!$D:$D"),$S30,INDIRECT(G$12&amp;".PPA"&amp;"!$H:$H")))),"")</f>
        <v>315.9173710617913</v>
      </c>
      <c r="J30" s="21">
        <f ca="1">IFERROR(IF(SUMIF(INDIRECT(PFSDRange&amp;".PPA"&amp;"!$D:$D"),$S30,INDIRECT(PFSDRange&amp;".PPA"&amp;"!$H:$H"))=0,"",SUMIF(INDIRECT(PFSDRange&amp;".PPA"&amp;"!$D:$D"),$S30,INDIRECT(PFSDRange&amp;".PPA"&amp;"!$H:$H"))),"")</f>
        <v>3.15</v>
      </c>
      <c r="K30" s="21">
        <f ca="1">IFERROR($J30/ABS(INT(MID(pfsdStart,1,2)) - INT(MID(pfsdEnd,1,2))),"")</f>
        <v>1.05</v>
      </c>
      <c r="L30" s="21">
        <f t="shared" ref="L30:L32" ca="1" si="18">IFERROR(IF(SUMIF(INDIRECT(J$12&amp;".PPA"&amp;"!$D:$D"),$S30,INDIRECT(J$12&amp;".PPA"&amp;"!$I:$I"))=0,"",(SUMIF(INDIRECT(J$12&amp;".PPA"&amp;"!$D:$D"),$S30,INDIRECT(J$12&amp;".PPA"&amp;"!$F:$F"))) / (SUMIF(INDIRECT(J$12&amp;".PPA"&amp;"!$D:$D"),$S30,INDIRECT(J$12&amp;".PPA"&amp;"!$H:$H")))),"")</f>
        <v>655.8730158730159</v>
      </c>
      <c r="M30" s="307" t="str">
        <f ca="1">IFERROR(IF(SUMIF(INDIRECT(Cycle0Range&amp;".PPA"&amp;"!$D:$D"),$S30,INDIRECT(Cycle0Range&amp;".PPA"&amp;"!$H:$H"))=0,"",SUMIF(INDIRECT(Cycle0Range&amp;".PPA"&amp;"!$D:$D"),$S30,INDIRECT(Cycle0Range&amp;".PPA"&amp;"!$H:$H"))),"")</f>
        <v/>
      </c>
      <c r="N30" s="22" t="str">
        <f ca="1">IFERROR($M30/ABS(INT(MID(cycle0Start,1,2)) - INT(MID(cycle0End,1,2))),"")</f>
        <v/>
      </c>
      <c r="O30" s="308" t="str">
        <f t="shared" ref="O30:O32" ca="1" si="19">IFERROR(IF(SUMIF(INDIRECT(M$12&amp;".PPA"&amp;"!$D:$D"),$S30,INDIRECT(M$12&amp;".PPA"&amp;"!$I:$I"))=0,"",(SUMIF(INDIRECT(M$12&amp;".PPA"&amp;"!$D:$D"),$S30,INDIRECT(M$12&amp;".PPA"&amp;"!$F:$F"))) / (SUMIF(INDIRECT(M$12&amp;".PPA"&amp;"!$D:$D"),$S30,INDIRECT(M$12&amp;".PPA"&amp;"!$H:$H")))),"")</f>
        <v/>
      </c>
      <c r="P30" s="21" t="str">
        <f ca="1">IFERROR(IF(SUMIF(INDIRECT(Cycle1Range&amp;".PPA"&amp;"!$D:$D"),$S30,INDIRECT(Cycle1Range&amp;".PPA"&amp;"!$H:$H"))=0,"",SUMIF(INDIRECT(Cycle1Range&amp;".PPA"&amp;"!$D:$D"),$S30,INDIRECT(Cycle1Range&amp;".PPA"&amp;"!$H:$H"))),"")</f>
        <v/>
      </c>
      <c r="Q30" s="21" t="str">
        <f ca="1">IFERROR($P30/ABS(INT(MID(cycle1Start,1,2)) - INT(MID(cycle1End,1,2))),"")</f>
        <v/>
      </c>
      <c r="R30" s="21" t="str">
        <f t="shared" ref="R30:R32" ca="1" si="20">IFERROR(IF(SUMIF(INDIRECT(P$12&amp;".PPA"&amp;"!$D:$D"),$S30,INDIRECT(P$12&amp;".PPA"&amp;"!$I:$I"))=0,"",(SUMIF(INDIRECT(P$12&amp;".PPA"&amp;"!$D:$D"),$S30,INDIRECT(P$12&amp;".PPA"&amp;"!$F:$F"))) / (SUMIF(INDIRECT(P$12&amp;".PPA"&amp;"!$D:$D"),$S30,INDIRECT(P$12&amp;".PPA"&amp;"!$H:$H")))),"")</f>
        <v/>
      </c>
      <c r="S30" s="288">
        <v>100440</v>
      </c>
      <c r="T30" s="285"/>
    </row>
    <row r="31" spans="2:24" ht="25" customHeight="1" x14ac:dyDescent="0.35">
      <c r="B31" s="349" t="s">
        <v>22</v>
      </c>
      <c r="C31" s="350"/>
      <c r="D31" s="20">
        <f ca="1">IFERROR(IF(SUMIF(INDIRECT(PickStageRange&amp;".PPA"&amp;"!$D:$D"),$S31,INDIRECT(PickStageRange&amp;".PPA"&amp;"!$H:$H"))=0,"",SUMIF(INDIRECT(PickStageRange&amp;".PPA"&amp;"!$D:$D"),$S31,INDIRECT(PickStageRange&amp;".PPA"&amp;"!$H:$H"))),"")</f>
        <v>67.640555555555423</v>
      </c>
      <c r="E31" s="20">
        <f ca="1">IFERROR($D31/ABS(INT(MID(PickStageStart,1,2)) - INT(MID(PickStageEnd,1,2))),"")</f>
        <v>22.546851851851809</v>
      </c>
      <c r="F31" s="20">
        <f t="shared" ca="1" si="16"/>
        <v>287.01715768810681</v>
      </c>
      <c r="G31" s="311">
        <f ca="1">IFERROR(IF(SUMIF(INDIRECT(MCORange&amp;".PPA"&amp;"!$D:$D"),$S31,INDIRECT(MCORange&amp;".PPA"&amp;"!$H:$H"))=0,"",SUMIF(INDIRECT(MCORange&amp;".PPA"&amp;"!$D:$D"),$S31,INDIRECT(MCORange&amp;".PPA"&amp;"!$H:$H"))),"")</f>
        <v>67.640555555555423</v>
      </c>
      <c r="H31" s="20">
        <f ca="1">IFERROR($G31/ABS(INT(MID(sortBStart,1,2)) - INT(MID(sortBEnd,1,2))),"")</f>
        <v>22.546851851851809</v>
      </c>
      <c r="I31" s="312">
        <f t="shared" ca="1" si="17"/>
        <v>287.01715768810681</v>
      </c>
      <c r="J31" s="20">
        <f ca="1">IFERROR(IF(SUMIF(INDIRECT(PFSDRange&amp;".PPA"&amp;"!$D:$D"),$S31,INDIRECT(PFSDRange&amp;".PPA"&amp;"!$H:$H"))=0,"",SUMIF(INDIRECT(PFSDRange&amp;".PPA"&amp;"!$D:$D"),$S31,INDIRECT(PFSDRange&amp;".PPA"&amp;"!$H:$H"))),"")</f>
        <v>13.688055555555529</v>
      </c>
      <c r="K31" s="20">
        <f ca="1">IFERROR($J31/ABS(INT(MID(pfsdStart,1,2)) - INT(MID(pfsdEnd,1,2))),"")</f>
        <v>4.5626851851851766</v>
      </c>
      <c r="L31" s="20">
        <f t="shared" ca="1" si="18"/>
        <v>150.93451305883099</v>
      </c>
      <c r="M31" s="311" t="str">
        <f ca="1">IFERROR(IF(SUMIF(INDIRECT(Cycle0Range&amp;".PPA"&amp;"!$D:$D"),$S31,INDIRECT(Cycle0Range&amp;".PPA"&amp;"!$H:$H"))=0,"",SUMIF(INDIRECT(Cycle0Range&amp;".PPA"&amp;"!$D:$D"),$S31,INDIRECT(Cycle0Range&amp;".PPA"&amp;"!$H:$H"))),"")</f>
        <v/>
      </c>
      <c r="N31" s="20" t="str">
        <f ca="1">IFERROR($M31/ABS(INT(MID(cycle0Start,1,2)) - INT(MID(cycle0End,1,2))),"")</f>
        <v/>
      </c>
      <c r="O31" s="312" t="str">
        <f t="shared" ca="1" si="19"/>
        <v/>
      </c>
      <c r="P31" s="20" t="str">
        <f ca="1">IFERROR(IF(SUMIF(INDIRECT(Cycle1Range&amp;".PPA"&amp;"!$D:$D"),$S31,INDIRECT(Cycle1Range&amp;".PPA"&amp;"!$H:$H"))=0,"",SUMIF(INDIRECT(Cycle1Range&amp;".PPA"&amp;"!$D:$D"),$S31,INDIRECT(Cycle1Range&amp;".PPA"&amp;"!$H:$H"))),"")</f>
        <v/>
      </c>
      <c r="Q31" s="20" t="str">
        <f ca="1">IFERROR($P31/ABS(INT(MID(cycle1Start,1,2)) - INT(MID(cycle1End,1,2))),"")</f>
        <v/>
      </c>
      <c r="R31" s="20" t="str">
        <f t="shared" ca="1" si="20"/>
        <v/>
      </c>
      <c r="S31" s="288">
        <v>100021</v>
      </c>
      <c r="T31" s="285"/>
    </row>
    <row r="32" spans="2:24" ht="25" customHeight="1" thickBot="1" x14ac:dyDescent="0.4">
      <c r="B32" s="374" t="s">
        <v>25</v>
      </c>
      <c r="C32" s="375"/>
      <c r="D32" s="21">
        <f ca="1">IFERROR(IF(SUMIF(INDIRECT(PickStageRange&amp;".PPA"&amp;"!$D:$D"),$S32,INDIRECT(PickStageRange&amp;".PPA"&amp;"!$H:$H"))=0,"",SUMIF(INDIRECT(PickStageRange&amp;".PPA"&amp;"!$D:$D"),$S32,INDIRECT(PickStageRange&amp;".PPA"&amp;"!$H:$H"))),"")</f>
        <v>9.0833333333333304</v>
      </c>
      <c r="E32" s="21">
        <f ca="1">IFERROR($D32/ABS(INT(MID(PickStageStart,1,2)) - INT(MID(PickStageEnd,1,2))),"")</f>
        <v>3.0277777777777768</v>
      </c>
      <c r="F32" s="21">
        <f t="shared" ca="1" si="16"/>
        <v>2137.321100917432</v>
      </c>
      <c r="G32" s="305">
        <f ca="1">IFERROR(IF(SUMIF(INDIRECT(MCORange&amp;".PPA"&amp;"!$D:$D"),$S32,INDIRECT(MCORange&amp;".PPA"&amp;"!$H:$H"))=0,"",SUMIF(INDIRECT(MCORange&amp;".PPA"&amp;"!$D:$D"),$S32,INDIRECT(MCORange&amp;".PPA"&amp;"!$H:$H"))),"")</f>
        <v>9.0833333333333304</v>
      </c>
      <c r="H32" s="21">
        <f ca="1">IFERROR($G32/ABS(INT(MID(sortBStart,1,2)) - INT(MID(sortBEnd,1,2))),"")</f>
        <v>3.0277777777777768</v>
      </c>
      <c r="I32" s="306">
        <f t="shared" ca="1" si="17"/>
        <v>2137.321100917432</v>
      </c>
      <c r="J32" s="21" t="str">
        <f ca="1">IFERROR(IF(SUMIF(INDIRECT(PFSDRange&amp;".PPA"&amp;"!$D:$D"),$S32,INDIRECT(PFSDRange&amp;".PPA"&amp;"!$H:$H"))=0,"",SUMIF(INDIRECT(PFSDRange&amp;".PPA"&amp;"!$D:$D"),$S32,INDIRECT(PFSDRange&amp;".PPA"&amp;"!$H:$H"))),"")</f>
        <v/>
      </c>
      <c r="K32" s="21" t="str">
        <f ca="1">IFERROR($J32/ABS(INT(MID(pfsdStart,1,2)) - INT(MID(pfsdEnd,1,2))),"")</f>
        <v/>
      </c>
      <c r="L32" s="21" t="str">
        <f t="shared" ca="1" si="18"/>
        <v/>
      </c>
      <c r="M32" s="305" t="str">
        <f ca="1">IFERROR(IF(SUMIF(INDIRECT(Cycle0Range&amp;".PPA"&amp;"!$D:$D"),$S32,INDIRECT(Cycle0Range&amp;".PPA"&amp;"!$H:$H"))=0,"",SUMIF(INDIRECT(Cycle0Range&amp;".PPA"&amp;"!$D:$D"),$S32,INDIRECT(Cycle0Range&amp;".PPA"&amp;"!$H:$H"))),"")</f>
        <v/>
      </c>
      <c r="N32" s="21" t="str">
        <f ca="1">IFERROR($M32/ABS(INT(MID(cycle0Start,1,2)) - INT(MID(cycle0End,1,2))),"")</f>
        <v/>
      </c>
      <c r="O32" s="306" t="str">
        <f t="shared" ca="1" si="19"/>
        <v/>
      </c>
      <c r="P32" s="21" t="str">
        <f ca="1">IFERROR(IF(SUMIF(INDIRECT(Cycle1Range&amp;".PPA"&amp;"!$D:$D"),$S32,INDIRECT(Cycle1Range&amp;".PPA"&amp;"!$H:$H"))=0,"",SUMIF(INDIRECT(Cycle1Range&amp;".PPA"&amp;"!$D:$D"),$S32,INDIRECT(Cycle1Range&amp;".PPA"&amp;"!$H:$H"))),"")</f>
        <v/>
      </c>
      <c r="Q32" s="21" t="str">
        <f ca="1">IFERROR($P32/ABS(INT(MID(cycle1Start,1,2)) - INT(MID(cycle1End,1,2))),"")</f>
        <v/>
      </c>
      <c r="R32" s="21" t="str">
        <f t="shared" ca="1" si="20"/>
        <v/>
      </c>
      <c r="S32" s="288">
        <v>100461</v>
      </c>
      <c r="T32" s="285"/>
    </row>
    <row r="33" spans="2:20" ht="25" customHeight="1" x14ac:dyDescent="0.35">
      <c r="B33" s="371" t="s">
        <v>29</v>
      </c>
      <c r="C33" s="372"/>
      <c r="D33" s="280">
        <f t="shared" ref="D33:R33" ca="1" si="21">SUM(D30:D32)</f>
        <v>138.17666666666648</v>
      </c>
      <c r="E33" s="281">
        <f t="shared" ca="1" si="21"/>
        <v>46.058888888888823</v>
      </c>
      <c r="F33" s="281">
        <f t="shared" ca="1" si="21"/>
        <v>2740.2556296673301</v>
      </c>
      <c r="G33" s="309">
        <f t="shared" ca="1" si="21"/>
        <v>138.17666666666648</v>
      </c>
      <c r="H33" s="281">
        <f t="shared" ca="1" si="21"/>
        <v>46.058888888888823</v>
      </c>
      <c r="I33" s="310">
        <f t="shared" ca="1" si="21"/>
        <v>2740.2556296673301</v>
      </c>
      <c r="J33" s="281">
        <f t="shared" ca="1" si="21"/>
        <v>16.838055555555528</v>
      </c>
      <c r="K33" s="281">
        <f t="shared" ca="1" si="21"/>
        <v>5.6126851851851765</v>
      </c>
      <c r="L33" s="281">
        <f t="shared" ca="1" si="21"/>
        <v>806.80752893184695</v>
      </c>
      <c r="M33" s="309">
        <f t="shared" ca="1" si="21"/>
        <v>0</v>
      </c>
      <c r="N33" s="281">
        <f t="shared" ca="1" si="21"/>
        <v>0</v>
      </c>
      <c r="O33" s="310">
        <f t="shared" ca="1" si="21"/>
        <v>0</v>
      </c>
      <c r="P33" s="281">
        <f t="shared" ca="1" si="21"/>
        <v>0</v>
      </c>
      <c r="Q33" s="281">
        <f t="shared" ca="1" si="21"/>
        <v>0</v>
      </c>
      <c r="R33" s="281">
        <f t="shared" ca="1" si="21"/>
        <v>0</v>
      </c>
      <c r="S33" s="288"/>
      <c r="T33" s="285"/>
    </row>
    <row r="34" spans="2:20" ht="25" customHeight="1" x14ac:dyDescent="0.35">
      <c r="B34" s="302"/>
      <c r="C34" s="41"/>
      <c r="D34" s="298"/>
      <c r="E34" s="293"/>
      <c r="F34" s="293"/>
      <c r="G34" s="299"/>
      <c r="H34" s="293"/>
      <c r="I34" s="300"/>
      <c r="J34" s="293"/>
      <c r="K34" s="293"/>
      <c r="L34" s="293"/>
      <c r="M34" s="299"/>
      <c r="N34" s="293"/>
      <c r="O34" s="300"/>
      <c r="P34" s="293"/>
      <c r="Q34" s="293"/>
      <c r="R34" s="301"/>
      <c r="S34" s="288"/>
      <c r="T34" s="285"/>
    </row>
    <row r="35" spans="2:20" ht="25" customHeight="1" x14ac:dyDescent="0.35">
      <c r="B35" s="345" t="s">
        <v>16</v>
      </c>
      <c r="C35" s="346"/>
      <c r="D35" s="21">
        <f ca="1">IFERROR(IF(SUMIF(INDIRECT(PickStageRange&amp;".PPA"&amp;"!$D:$D"),$S35,INDIRECT(PickStageRange&amp;".PPA"&amp;"!$H:$H"))=0,"",SUMIF(INDIRECT(PickStageRange&amp;".PPA"&amp;"!$D:$D"),$S35,INDIRECT(PickStageRange&amp;".PPA"&amp;"!$H:$H"))),"")</f>
        <v>24.190833333333298</v>
      </c>
      <c r="E35" s="21">
        <f ca="1">IFERROR($D35/ABS(INT(MID(PickStageStart,1,2)) - INT(MID(PickStageEnd,1,2))),"")</f>
        <v>8.0636111111110989</v>
      </c>
      <c r="F35" s="21" t="str">
        <f t="shared" ref="F35:F39" ca="1" si="22">IFERROR(IF(SUMIF(INDIRECT(D$12&amp;".PPA"&amp;"!$D:$D"),$S35,INDIRECT(D$12&amp;".PPA"&amp;"!$I:$I"))=0,"",(SUMIF(INDIRECT(D$12&amp;".PPA"&amp;"!$D:$D"),$S35,INDIRECT(D$12&amp;".PPA"&amp;"!$F:$F"))) / (SUMIF(INDIRECT(D$12&amp;".PPA"&amp;"!$D:$D"),$S35,INDIRECT(D$12&amp;".PPA"&amp;"!$H:$H")))),"")</f>
        <v/>
      </c>
      <c r="G35" s="307">
        <f ca="1">IFERROR(IF(SUMIF(INDIRECT(MCORange&amp;".PPA"&amp;"!$D:$D"),$S35,INDIRECT(MCORange&amp;".PPA"&amp;"!$H:$H"))=0,"",SUMIF(INDIRECT(MCORange&amp;".PPA"&amp;"!$D:$D"),$S35,INDIRECT(MCORange&amp;".PPA"&amp;"!$H:$H"))),"")</f>
        <v>24.190833333333298</v>
      </c>
      <c r="H35" s="22">
        <f ca="1">IFERROR($G35/ABS(INT(MID(sortBStart,1,2)) - INT(MID(sortBEnd,1,2))),"")</f>
        <v>8.0636111111110989</v>
      </c>
      <c r="I35" s="308" t="str">
        <f t="shared" ref="I35:I39" ca="1" si="23">IFERROR(IF(SUMIF(INDIRECT(G$12&amp;".PPA"&amp;"!$D:$D"),$S35,INDIRECT(G$12&amp;".PPA"&amp;"!$I:$I"))=0,"",(SUMIF(INDIRECT(G$12&amp;".PPA"&amp;"!$D:$D"),$S35,INDIRECT(G$12&amp;".PPA"&amp;"!$F:$F"))) / (SUMIF(INDIRECT(G$12&amp;".PPA"&amp;"!$D:$D"),$S35,INDIRECT(G$12&amp;".PPA"&amp;"!$H:$H")))),"")</f>
        <v/>
      </c>
      <c r="J35" s="21">
        <f ca="1">IFERROR(IF(SUMIF(INDIRECT(PFSDRange&amp;".PPA"&amp;"!$D:$D"),$S35,INDIRECT(PFSDRange&amp;".PPA"&amp;"!$H:$H"))=0,"",SUMIF(INDIRECT(PFSDRange&amp;".PPA"&amp;"!$D:$D"),$S35,INDIRECT(PFSDRange&amp;".PPA"&amp;"!$H:$H"))),"")</f>
        <v>5.75</v>
      </c>
      <c r="K35" s="21">
        <f ca="1">IFERROR($J35/ABS(INT(MID(pfsdStart,1,2)) - INT(MID(pfsdEnd,1,2))),"")</f>
        <v>1.9166666666666667</v>
      </c>
      <c r="L35" s="21" t="str">
        <f t="shared" ref="L35:L39" ca="1" si="24">IFERROR(IF(SUMIF(INDIRECT(J$12&amp;".PPA"&amp;"!$D:$D"),$S35,INDIRECT(J$12&amp;".PPA"&amp;"!$I:$I"))=0,"",(SUMIF(INDIRECT(J$12&amp;".PPA"&amp;"!$D:$D"),$S35,INDIRECT(J$12&amp;".PPA"&amp;"!$F:$F"))) / (SUMIF(INDIRECT(J$12&amp;".PPA"&amp;"!$D:$D"),$S35,INDIRECT(J$12&amp;".PPA"&amp;"!$H:$H")))),"")</f>
        <v/>
      </c>
      <c r="M35" s="307" t="str">
        <f ca="1">IFERROR(IF(SUMIF(INDIRECT(Cycle0Range&amp;".PPA"&amp;"!$D:$D"),$S35,INDIRECT(Cycle0Range&amp;".PPA"&amp;"!$H:$H"))=0,"",SUMIF(INDIRECT(Cycle0Range&amp;".PPA"&amp;"!$D:$D"),$S35,INDIRECT(Cycle0Range&amp;".PPA"&amp;"!$H:$H"))),"")</f>
        <v/>
      </c>
      <c r="N35" s="22" t="str">
        <f ca="1">IFERROR($M35/ABS(INT(MID(cycle0Start,1,2)) - INT(MID(cycle0End,1,2))),"")</f>
        <v/>
      </c>
      <c r="O35" s="308" t="str">
        <f t="shared" ref="O35:O39" ca="1" si="25">IFERROR(IF(SUMIF(INDIRECT(M$12&amp;".PPA"&amp;"!$D:$D"),$S35,INDIRECT(M$12&amp;".PPA"&amp;"!$I:$I"))=0,"",(SUMIF(INDIRECT(M$12&amp;".PPA"&amp;"!$D:$D"),$S35,INDIRECT(M$12&amp;".PPA"&amp;"!$F:$F"))) / (SUMIF(INDIRECT(M$12&amp;".PPA"&amp;"!$D:$D"),$S35,INDIRECT(M$12&amp;".PPA"&amp;"!$H:$H")))),"")</f>
        <v/>
      </c>
      <c r="P35" s="21" t="str">
        <f ca="1">IFERROR(IF(SUMIF(INDIRECT(Cycle1Range&amp;".PPA"&amp;"!$D:$D"),$S35,INDIRECT(Cycle1Range&amp;".PPA"&amp;"!$H:$H"))=0,"",SUMIF(INDIRECT(Cycle1Range&amp;".PPA"&amp;"!$D:$D"),$S35,INDIRECT(Cycle1Range&amp;".PPA"&amp;"!$H:$H"))),"")</f>
        <v/>
      </c>
      <c r="Q35" s="21" t="str">
        <f ca="1">IFERROR($P35/ABS(INT(MID(cycle1Start,1,2)) - INT(MID(cycle1End,1,2))),"")</f>
        <v/>
      </c>
      <c r="R35" s="21" t="str">
        <f t="shared" ref="R35:R39" ca="1" si="26">IFERROR(IF(SUMIF(INDIRECT(P$12&amp;".PPA"&amp;"!$D:$D"),$S35,INDIRECT(P$12&amp;".PPA"&amp;"!$I:$I"))=0,"",(SUMIF(INDIRECT(P$12&amp;".PPA"&amp;"!$D:$D"),$S35,INDIRECT(P$12&amp;".PPA"&amp;"!$F:$F"))) / (SUMIF(INDIRECT(P$12&amp;".PPA"&amp;"!$D:$D"),$S35,INDIRECT(P$12&amp;".PPA"&amp;"!$H:$H")))),"")</f>
        <v/>
      </c>
      <c r="S35" s="288">
        <v>100465</v>
      </c>
      <c r="T35" s="285"/>
    </row>
    <row r="36" spans="2:20" ht="25" customHeight="1" x14ac:dyDescent="0.35">
      <c r="B36" s="347" t="s">
        <v>23</v>
      </c>
      <c r="C36" s="348"/>
      <c r="D36" s="20">
        <f ca="1">IFERROR(IF(SUMIF(INDIRECT(PickStageRange&amp;".PPA"&amp;"!$D:$D"),$S36,INDIRECT(PickStageRange&amp;".PPA"&amp;"!$H:$H"))=0,"",SUMIF(INDIRECT(PickStageRange&amp;".PPA"&amp;"!$D:$D"),$S36,INDIRECT(PickStageRange&amp;".PPA"&amp;"!$H:$H"))),"")</f>
        <v>5.3788888888888797</v>
      </c>
      <c r="E36" s="20">
        <f ca="1">IFERROR($D36/ABS(INT(MID(PickStageStart,1,2)) - INT(MID(PickStageEnd,1,2))),"")</f>
        <v>1.79296296296296</v>
      </c>
      <c r="F36" s="20" t="str">
        <f t="shared" ca="1" si="22"/>
        <v/>
      </c>
      <c r="G36" s="311">
        <f ca="1">IFERROR(IF(SUMIF(INDIRECT(MCORange&amp;".PPA"&amp;"!$D:$D"),$S36,INDIRECT(MCORange&amp;".PPA"&amp;"!$H:$H"))=0,"",SUMIF(INDIRECT(MCORange&amp;".PPA"&amp;"!$D:$D"),$S36,INDIRECT(MCORange&amp;".PPA"&amp;"!$H:$H"))),"")</f>
        <v>5.3788888888888797</v>
      </c>
      <c r="H36" s="20">
        <f ca="1">IFERROR($G36/ABS(INT(MID(sortBStart,1,2)) - INT(MID(sortBEnd,1,2))),"")</f>
        <v>1.79296296296296</v>
      </c>
      <c r="I36" s="312" t="str">
        <f t="shared" ca="1" si="23"/>
        <v/>
      </c>
      <c r="J36" s="20">
        <f ca="1">IFERROR(IF(SUMIF(INDIRECT(PFSDRange&amp;".PPA"&amp;"!$D:$D"),$S36,INDIRECT(PFSDRange&amp;".PPA"&amp;"!$H:$H"))=0,"",SUMIF(INDIRECT(PFSDRange&amp;".PPA"&amp;"!$D:$D"),$S36,INDIRECT(PFSDRange&amp;".PPA"&amp;"!$H:$H"))),"")</f>
        <v>10.282777777777699</v>
      </c>
      <c r="K36" s="20">
        <f ca="1">IFERROR($J36/ABS(INT(MID(pfsdStart,1,2)) - INT(MID(pfsdEnd,1,2))),"")</f>
        <v>3.4275925925925663</v>
      </c>
      <c r="L36" s="20" t="str">
        <f t="shared" ca="1" si="24"/>
        <v/>
      </c>
      <c r="M36" s="311" t="str">
        <f ca="1">IFERROR(IF(SUMIF(INDIRECT(Cycle0Range&amp;".PPA"&amp;"!$D:$D"),$S36,INDIRECT(Cycle0Range&amp;".PPA"&amp;"!$H:$H"))=0,"",SUMIF(INDIRECT(Cycle0Range&amp;".PPA"&amp;"!$D:$D"),$S36,INDIRECT(Cycle0Range&amp;".PPA"&amp;"!$H:$H"))),"")</f>
        <v/>
      </c>
      <c r="N36" s="20" t="str">
        <f ca="1">IFERROR($M36/ABS(INT(MID(cycle0Start,1,2)) - INT(MID(cycle0End,1,2))),"")</f>
        <v/>
      </c>
      <c r="O36" s="312" t="str">
        <f t="shared" ca="1" si="25"/>
        <v/>
      </c>
      <c r="P36" s="20" t="str">
        <f ca="1">IFERROR(IF(SUMIF(INDIRECT(Cycle1Range&amp;".PPA"&amp;"!$D:$D"),$S36,INDIRECT(Cycle1Range&amp;".PPA"&amp;"!$H:$H"))=0,"",SUMIF(INDIRECT(Cycle1Range&amp;".PPA"&amp;"!$D:$D"),$S36,INDIRECT(Cycle1Range&amp;".PPA"&amp;"!$H:$H"))),"")</f>
        <v/>
      </c>
      <c r="Q36" s="20" t="str">
        <f ca="1">IFERROR($P36/ABS(INT(MID(cycle1Start,1,2)) - INT(MID(cycle1End,1,2))),"")</f>
        <v/>
      </c>
      <c r="R36" s="20" t="str">
        <f t="shared" ca="1" si="26"/>
        <v/>
      </c>
      <c r="S36" s="288">
        <v>100464</v>
      </c>
      <c r="T36" s="285"/>
    </row>
    <row r="37" spans="2:20" ht="25" customHeight="1" x14ac:dyDescent="0.35">
      <c r="B37" s="349" t="s">
        <v>19</v>
      </c>
      <c r="C37" s="350"/>
      <c r="D37" s="21">
        <f ca="1">IFERROR(IF(SUMIF(INDIRECT(PickStageRange&amp;".PPA"&amp;"!$D:$D"),$S37,INDIRECT(PickStageRange&amp;".PPA"&amp;"!$H:$H"))=0,"",SUMIF(INDIRECT(PickStageRange&amp;".PPA"&amp;"!$D:$D"),$S37,INDIRECT(PickStageRange&amp;".PPA"&amp;"!$H:$H"))),"")</f>
        <v>6</v>
      </c>
      <c r="E37" s="21">
        <f ca="1">IFERROR($D37/ABS(INT(MID(PickStageStart,1,2)) - INT(MID(PickStageEnd,1,2))),"")</f>
        <v>2</v>
      </c>
      <c r="F37" s="21" t="str">
        <f t="shared" ca="1" si="22"/>
        <v/>
      </c>
      <c r="G37" s="305">
        <f ca="1">IFERROR(IF(SUMIF(INDIRECT(MCORange&amp;".PPA"&amp;"!$D:$D"),$S37,INDIRECT(MCORange&amp;".PPA"&amp;"!$H:$H"))=0,"",SUMIF(INDIRECT(MCORange&amp;".PPA"&amp;"!$D:$D"),$S37,INDIRECT(MCORange&amp;".PPA"&amp;"!$H:$H"))),"")</f>
        <v>6</v>
      </c>
      <c r="H37" s="21">
        <f ca="1">IFERROR($G37/ABS(INT(MID(sortBStart,1,2)) - INT(MID(sortBEnd,1,2))),"")</f>
        <v>2</v>
      </c>
      <c r="I37" s="306" t="str">
        <f t="shared" ca="1" si="23"/>
        <v/>
      </c>
      <c r="J37" s="21" t="str">
        <f ca="1">IFERROR(IF(SUMIF(INDIRECT(PFSDRange&amp;".PPA"&amp;"!$D:$D"),$S37,INDIRECT(PFSDRange&amp;".PPA"&amp;"!$H:$H"))=0,"",SUMIF(INDIRECT(PFSDRange&amp;".PPA"&amp;"!$D:$D"),$S37,INDIRECT(PFSDRange&amp;".PPA"&amp;"!$H:$H"))),"")</f>
        <v/>
      </c>
      <c r="K37" s="21" t="str">
        <f ca="1">IFERROR($J37/ABS(INT(MID(pfsdStart,1,2)) - INT(MID(pfsdEnd,1,2))),"")</f>
        <v/>
      </c>
      <c r="L37" s="21" t="str">
        <f t="shared" ca="1" si="24"/>
        <v/>
      </c>
      <c r="M37" s="305" t="str">
        <f ca="1">IFERROR(IF(SUMIF(INDIRECT(Cycle0Range&amp;".PPA"&amp;"!$D:$D"),$S37,INDIRECT(Cycle0Range&amp;".PPA"&amp;"!$H:$H"))=0,"",SUMIF(INDIRECT(Cycle0Range&amp;".PPA"&amp;"!$D:$D"),$S37,INDIRECT(Cycle0Range&amp;".PPA"&amp;"!$H:$H"))),"")</f>
        <v/>
      </c>
      <c r="N37" s="21" t="str">
        <f ca="1">IFERROR($M37/ABS(INT(MID(cycle0Start,1,2)) - INT(MID(cycle0End,1,2))),"")</f>
        <v/>
      </c>
      <c r="O37" s="306" t="str">
        <f t="shared" ca="1" si="25"/>
        <v/>
      </c>
      <c r="P37" s="21" t="str">
        <f ca="1">IFERROR(IF(SUMIF(INDIRECT(Cycle1Range&amp;".PPA"&amp;"!$D:$D"),$S37,INDIRECT(Cycle1Range&amp;".PPA"&amp;"!$H:$H"))=0,"",SUMIF(INDIRECT(Cycle1Range&amp;".PPA"&amp;"!$D:$D"),$S37,INDIRECT(Cycle1Range&amp;".PPA"&amp;"!$H:$H"))),"")</f>
        <v/>
      </c>
      <c r="Q37" s="21" t="str">
        <f ca="1">IFERROR($P37/ABS(INT(MID(cycle1Start,1,2)) - INT(MID(cycle1End,1,2))),"")</f>
        <v/>
      </c>
      <c r="R37" s="21" t="str">
        <f t="shared" ca="1" si="26"/>
        <v/>
      </c>
      <c r="S37" s="288">
        <v>100436</v>
      </c>
      <c r="T37" s="285"/>
    </row>
    <row r="38" spans="2:20" ht="25" customHeight="1" x14ac:dyDescent="0.35">
      <c r="B38" s="349" t="s">
        <v>24</v>
      </c>
      <c r="C38" s="350"/>
      <c r="D38" s="20">
        <f ca="1">IFERROR(IF(SUMIF(INDIRECT(PickStageRange&amp;".PPA"&amp;"!$D:$D"),$S38,INDIRECT(PickStageRange&amp;".PPA"&amp;"!$H:$H"))=0,"",SUMIF(INDIRECT(PickStageRange&amp;".PPA"&amp;"!$D:$D"),$S38,INDIRECT(PickStageRange&amp;".PPA"&amp;"!$H:$H"))),"")</f>
        <v>27.311111111111099</v>
      </c>
      <c r="E38" s="20">
        <f ca="1">IFERROR($D38/ABS(INT(MID(PickStageStart,1,2)) - INT(MID(PickStageEnd,1,2))),"")</f>
        <v>9.1037037037036992</v>
      </c>
      <c r="F38" s="20" t="str">
        <f t="shared" ca="1" si="22"/>
        <v/>
      </c>
      <c r="G38" s="311">
        <f ca="1">IFERROR(IF(SUMIF(INDIRECT(MCORange&amp;".PPA"&amp;"!$D:$D"),$S38,INDIRECT(MCORange&amp;".PPA"&amp;"!$H:$H"))=0,"",SUMIF(INDIRECT(MCORange&amp;".PPA"&amp;"!$D:$D"),$S38,INDIRECT(MCORange&amp;".PPA"&amp;"!$H:$H"))),"")</f>
        <v>27.311111111111099</v>
      </c>
      <c r="H38" s="20">
        <f ca="1">IFERROR($G38/ABS(INT(MID(sortBStart,1,2)) - INT(MID(sortBEnd,1,2))),"")</f>
        <v>9.1037037037036992</v>
      </c>
      <c r="I38" s="312" t="str">
        <f t="shared" ca="1" si="23"/>
        <v/>
      </c>
      <c r="J38" s="20">
        <f ca="1">IFERROR(IF(SUMIF(INDIRECT(PFSDRange&amp;".PPA"&amp;"!$D:$D"),$S38,INDIRECT(PFSDRange&amp;".PPA"&amp;"!$H:$H"))=0,"",SUMIF(INDIRECT(PFSDRange&amp;".PPA"&amp;"!$D:$D"),$S38,INDIRECT(PFSDRange&amp;".PPA"&amp;"!$H:$H"))),"")</f>
        <v>3.85</v>
      </c>
      <c r="K38" s="20">
        <f ca="1">IFERROR($J38/ABS(INT(MID(pfsdStart,1,2)) - INT(MID(pfsdEnd,1,2))),"")</f>
        <v>1.2833333333333334</v>
      </c>
      <c r="L38" s="20" t="str">
        <f t="shared" ca="1" si="24"/>
        <v/>
      </c>
      <c r="M38" s="311" t="str">
        <f ca="1">IFERROR(IF(SUMIF(INDIRECT(Cycle0Range&amp;".PPA"&amp;"!$D:$D"),$S38,INDIRECT(Cycle0Range&amp;".PPA"&amp;"!$H:$H"))=0,"",SUMIF(INDIRECT(Cycle0Range&amp;".PPA"&amp;"!$D:$D"),$S38,INDIRECT(Cycle0Range&amp;".PPA"&amp;"!$H:$H"))),"")</f>
        <v/>
      </c>
      <c r="N38" s="20" t="str">
        <f ca="1">IFERROR($M38/ABS(INT(MID(cycle0Start,1,2)) - INT(MID(cycle0End,1,2))),"")</f>
        <v/>
      </c>
      <c r="O38" s="312" t="str">
        <f t="shared" ca="1" si="25"/>
        <v/>
      </c>
      <c r="P38" s="20" t="str">
        <f ca="1">IFERROR(IF(SUMIF(INDIRECT(Cycle1Range&amp;".PPA"&amp;"!$D:$D"),$S38,INDIRECT(Cycle1Range&amp;".PPA"&amp;"!$H:$H"))=0,"",SUMIF(INDIRECT(Cycle1Range&amp;".PPA"&amp;"!$D:$D"),$S38,INDIRECT(Cycle1Range&amp;".PPA"&amp;"!$H:$H"))),"")</f>
        <v/>
      </c>
      <c r="Q38" s="20" t="str">
        <f ca="1">IFERROR($P38/ABS(INT(MID(cycle1Start,1,2)) - INT(MID(cycle1End,1,2))),"")</f>
        <v/>
      </c>
      <c r="R38" s="20" t="str">
        <f t="shared" ca="1" si="26"/>
        <v/>
      </c>
      <c r="S38" s="288">
        <v>100429</v>
      </c>
      <c r="T38" s="285"/>
    </row>
    <row r="39" spans="2:20" ht="25" customHeight="1" thickBot="1" x14ac:dyDescent="0.4">
      <c r="B39" s="385" t="s">
        <v>13</v>
      </c>
      <c r="C39" s="386"/>
      <c r="D39" s="21">
        <f ca="1">IFERROR(IF(SUMIF(INDIRECT(PickStageRange&amp;".PPA"&amp;"!$D:$D"),$S39,INDIRECT(PickStageRange&amp;".PPA"&amp;"!$H:$H"))=0,"",SUMIF(INDIRECT(PickStageRange&amp;".PPA"&amp;"!$D:$D"),$S39,INDIRECT(PickStageRange&amp;".PPA"&amp;"!$H:$H"))),"")</f>
        <v>0.390277777777777</v>
      </c>
      <c r="E39" s="21">
        <f ca="1">IFERROR($D39/ABS(INT(MID(PickStageStart,1,2)) - INT(MID(PickStageEnd,1,2))),"")</f>
        <v>0.13009259259259234</v>
      </c>
      <c r="F39" s="21" t="str">
        <f t="shared" ca="1" si="22"/>
        <v/>
      </c>
      <c r="G39" s="305">
        <f ca="1">IFERROR(IF(SUMIF(INDIRECT(MCORange&amp;".PPA"&amp;"!$D:$D"),$S39,INDIRECT(MCORange&amp;".PPA"&amp;"!$H:$H"))=0,"",SUMIF(INDIRECT(MCORange&amp;".PPA"&amp;"!$D:$D"),$S39,INDIRECT(MCORange&amp;".PPA"&amp;"!$H:$H"))),"")</f>
        <v>0.390277777777777</v>
      </c>
      <c r="H39" s="21">
        <f ca="1">IFERROR($G39/ABS(INT(MID(sortBStart,1,2)) - INT(MID(sortBEnd,1,2))),"")</f>
        <v>0.13009259259259234</v>
      </c>
      <c r="I39" s="306" t="str">
        <f t="shared" ca="1" si="23"/>
        <v/>
      </c>
      <c r="J39" s="21">
        <f ca="1">IFERROR(IF(SUMIF(INDIRECT(PFSDRange&amp;".PPA"&amp;"!$D:$D"),$S39,INDIRECT(PFSDRange&amp;".PPA"&amp;"!$H:$H"))=0,"",SUMIF(INDIRECT(PFSDRange&amp;".PPA"&amp;"!$D:$D"),$S39,INDIRECT(PFSDRange&amp;".PPA"&amp;"!$H:$H"))),"")</f>
        <v>0.5</v>
      </c>
      <c r="K39" s="21">
        <f ca="1">IFERROR($J39/ABS(INT(MID(pfsdStart,1,2)) - INT(MID(pfsdEnd,1,2))),"")</f>
        <v>0.16666666666666666</v>
      </c>
      <c r="L39" s="21" t="str">
        <f t="shared" ca="1" si="24"/>
        <v/>
      </c>
      <c r="M39" s="305" t="str">
        <f ca="1">IFERROR(IF(SUMIF(INDIRECT(Cycle0Range&amp;".PPA"&amp;"!$D:$D"),$S39,INDIRECT(Cycle0Range&amp;".PPA"&amp;"!$H:$H"))=0,"",SUMIF(INDIRECT(Cycle0Range&amp;".PPA"&amp;"!$D:$D"),$S39,INDIRECT(Cycle0Range&amp;".PPA"&amp;"!$H:$H"))),"")</f>
        <v/>
      </c>
      <c r="N39" s="21" t="str">
        <f ca="1">IFERROR($M39/ABS(INT(MID(cycle0Start,1,2)) - INT(MID(cycle0End,1,2))),"")</f>
        <v/>
      </c>
      <c r="O39" s="306" t="str">
        <f t="shared" ca="1" si="25"/>
        <v/>
      </c>
      <c r="P39" s="21" t="str">
        <f ca="1">IFERROR(IF(SUMIF(INDIRECT(Cycle1Range&amp;".PPA"&amp;"!$D:$D"),$S39,INDIRECT(Cycle1Range&amp;".PPA"&amp;"!$H:$H"))=0,"",SUMIF(INDIRECT(Cycle1Range&amp;".PPA"&amp;"!$D:$D"),$S39,INDIRECT(Cycle1Range&amp;".PPA"&amp;"!$H:$H"))),"")</f>
        <v/>
      </c>
      <c r="Q39" s="21" t="str">
        <f ca="1">IFERROR($P39/ABS(INT(MID(cycle1Start,1,2)) - INT(MID(cycle1End,1,2))),"")</f>
        <v/>
      </c>
      <c r="R39" s="21" t="str">
        <f t="shared" ca="1" si="26"/>
        <v/>
      </c>
      <c r="S39" s="288">
        <v>100470</v>
      </c>
      <c r="T39" s="285"/>
    </row>
    <row r="40" spans="2:20" ht="25" customHeight="1" thickTop="1" x14ac:dyDescent="0.35">
      <c r="B40" s="357" t="s">
        <v>30</v>
      </c>
      <c r="C40" s="373"/>
      <c r="D40" s="280">
        <f t="shared" ref="D40:R40" ca="1" si="27">SUM(D35:D39)</f>
        <v>63.271111111111061</v>
      </c>
      <c r="E40" s="281">
        <f t="shared" ca="1" si="27"/>
        <v>21.090370370370351</v>
      </c>
      <c r="F40" s="281">
        <f t="shared" ca="1" si="27"/>
        <v>0</v>
      </c>
      <c r="G40" s="309">
        <f t="shared" ca="1" si="27"/>
        <v>63.271111111111061</v>
      </c>
      <c r="H40" s="281">
        <f t="shared" ca="1" si="27"/>
        <v>21.090370370370351</v>
      </c>
      <c r="I40" s="310">
        <f t="shared" ca="1" si="27"/>
        <v>0</v>
      </c>
      <c r="J40" s="281">
        <f t="shared" ca="1" si="27"/>
        <v>20.382777777777701</v>
      </c>
      <c r="K40" s="281">
        <f t="shared" ca="1" si="27"/>
        <v>6.794259259259233</v>
      </c>
      <c r="L40" s="281">
        <f t="shared" ca="1" si="27"/>
        <v>0</v>
      </c>
      <c r="M40" s="309">
        <f t="shared" ca="1" si="27"/>
        <v>0</v>
      </c>
      <c r="N40" s="281">
        <f t="shared" ca="1" si="27"/>
        <v>0</v>
      </c>
      <c r="O40" s="310">
        <f t="shared" ca="1" si="27"/>
        <v>0</v>
      </c>
      <c r="P40" s="281">
        <f t="shared" ca="1" si="27"/>
        <v>0</v>
      </c>
      <c r="Q40" s="281">
        <f t="shared" ca="1" si="27"/>
        <v>0</v>
      </c>
      <c r="R40" s="281">
        <f t="shared" ca="1" si="27"/>
        <v>0</v>
      </c>
      <c r="S40" s="288"/>
      <c r="T40" s="285"/>
    </row>
    <row r="41" spans="2:20" ht="25" customHeight="1" x14ac:dyDescent="0.35">
      <c r="B41" s="302"/>
      <c r="C41" s="41"/>
      <c r="D41" s="298"/>
      <c r="E41" s="293"/>
      <c r="F41" s="293"/>
      <c r="G41" s="299"/>
      <c r="H41" s="293"/>
      <c r="I41" s="300"/>
      <c r="J41" s="293"/>
      <c r="K41" s="293"/>
      <c r="L41" s="293"/>
      <c r="M41" s="299"/>
      <c r="N41" s="293"/>
      <c r="O41" s="300"/>
      <c r="P41" s="293"/>
      <c r="Q41" s="293"/>
      <c r="R41" s="301"/>
      <c r="S41" s="288"/>
      <c r="T41" s="285"/>
    </row>
    <row r="42" spans="2:20" ht="25" customHeight="1" x14ac:dyDescent="0.35">
      <c r="B42" s="349" t="s">
        <v>49</v>
      </c>
      <c r="C42" s="350"/>
      <c r="D42" s="21">
        <f ca="1">IFERROR(IF(SUMIF(INDIRECT(PickStageRange&amp;".PPA"&amp;"!$D:$D"),$S42,INDIRECT(PickStageRange&amp;".PPA"&amp;"!$H:$H"))=0,"",SUMIF(INDIRECT(PickStageRange&amp;".PPA"&amp;"!$D:$D"),$S42,INDIRECT(PickStageRange&amp;".PPA"&amp;"!$H:$H"))),"")</f>
        <v>141.37111111111108</v>
      </c>
      <c r="E42" s="21">
        <f ca="1">IFERROR($D42/ABS(INT(MID(PickStageStart,1,2)) - INT(MID(PickStageEnd,1,2))),"")</f>
        <v>47.12370370370369</v>
      </c>
      <c r="F42" s="21">
        <f t="shared" ref="F42:F46" ca="1" si="28">IFERROR(IF(SUMIF(INDIRECT(D$12&amp;".PPA"&amp;"!$D:$D"),$S42,INDIRECT(D$12&amp;".PPA"&amp;"!$I:$I"))=0,"",(SUMIF(INDIRECT(D$12&amp;".PPA"&amp;"!$D:$D"),$S42,INDIRECT(D$12&amp;".PPA"&amp;"!$F:$F"))) / (SUMIF(INDIRECT(D$12&amp;".PPA"&amp;"!$D:$D"),$S42,INDIRECT(D$12&amp;".PPA"&amp;"!$H:$H")))),"")</f>
        <v>52.797208293380713</v>
      </c>
      <c r="G42" s="307">
        <f ca="1">IFERROR(IF(SUMIF(INDIRECT(MCORange&amp;".PPA"&amp;"!$D:$D"),$S42,INDIRECT(MCORange&amp;".PPA"&amp;"!$H:$H"))=0,"",SUMIF(INDIRECT(MCORange&amp;".PPA"&amp;"!$D:$D"),$S42,INDIRECT(MCORange&amp;".PPA"&amp;"!$H:$H"))),"")</f>
        <v>141.37111111111108</v>
      </c>
      <c r="H42" s="22">
        <f ca="1">IFERROR($G42/ABS(INT(MID(sortBStart,1,2)) - INT(MID(sortBEnd,1,2))),"")</f>
        <v>47.12370370370369</v>
      </c>
      <c r="I42" s="308">
        <f t="shared" ref="I42:I46" ca="1" si="29">IFERROR(IF(SUMIF(INDIRECT(G$12&amp;".PPA"&amp;"!$D:$D"),$S42,INDIRECT(G$12&amp;".PPA"&amp;"!$I:$I"))=0,"",(SUMIF(INDIRECT(G$12&amp;".PPA"&amp;"!$D:$D"),$S42,INDIRECT(G$12&amp;".PPA"&amp;"!$F:$F"))) / (SUMIF(INDIRECT(G$12&amp;".PPA"&amp;"!$D:$D"),$S42,INDIRECT(G$12&amp;".PPA"&amp;"!$H:$H")))),"")</f>
        <v>52.797208293380713</v>
      </c>
      <c r="J42" s="21" t="str">
        <f ca="1">IFERROR(IF(SUMIF(INDIRECT(PFSDRange&amp;".PPA"&amp;"!$D:$D"),$S42,INDIRECT(PFSDRange&amp;".PPA"&amp;"!$H:$H"))=0,"",SUMIF(INDIRECT(PFSDRange&amp;".PPA"&amp;"!$D:$D"),$S42,INDIRECT(PFSDRange&amp;".PPA"&amp;"!$H:$H"))),"")</f>
        <v/>
      </c>
      <c r="K42" s="21" t="str">
        <f ca="1">IFERROR($J42/ABS(INT(MID(pfsdStart,1,2)) - INT(MID(pfsdEnd,1,2))),"")</f>
        <v/>
      </c>
      <c r="L42" s="21" t="str">
        <f t="shared" ref="L42:L46" ca="1" si="30">IFERROR(IF(SUMIF(INDIRECT(J$12&amp;".PPA"&amp;"!$D:$D"),$S42,INDIRECT(J$12&amp;".PPA"&amp;"!$I:$I"))=0,"",(SUMIF(INDIRECT(J$12&amp;".PPA"&amp;"!$D:$D"),$S42,INDIRECT(J$12&amp;".PPA"&amp;"!$F:$F"))) / (SUMIF(INDIRECT(J$12&amp;".PPA"&amp;"!$D:$D"),$S42,INDIRECT(J$12&amp;".PPA"&amp;"!$H:$H")))),"")</f>
        <v/>
      </c>
      <c r="M42" s="307" t="str">
        <f ca="1">IFERROR(IF(SUMIF(INDIRECT(Cycle0Range&amp;".PPA"&amp;"!$D:$D"),$S42,INDIRECT(Cycle0Range&amp;".PPA"&amp;"!$H:$H"))=0,"",SUMIF(INDIRECT(Cycle0Range&amp;".PPA"&amp;"!$D:$D"),$S42,INDIRECT(Cycle0Range&amp;".PPA"&amp;"!$H:$H"))),"")</f>
        <v/>
      </c>
      <c r="N42" s="22" t="str">
        <f ca="1">IFERROR($M42/ABS(INT(MID(cycle0Start,1,2)) - INT(MID(cycle0End,1,2))),"")</f>
        <v/>
      </c>
      <c r="O42" s="308" t="str">
        <f t="shared" ref="O42:O46" ca="1" si="31">IFERROR(IF(SUMIF(INDIRECT(M$12&amp;".PPA"&amp;"!$D:$D"),$S42,INDIRECT(M$12&amp;".PPA"&amp;"!$I:$I"))=0,"",(SUMIF(INDIRECT(M$12&amp;".PPA"&amp;"!$D:$D"),$S42,INDIRECT(M$12&amp;".PPA"&amp;"!$F:$F"))) / (SUMIF(INDIRECT(M$12&amp;".PPA"&amp;"!$D:$D"),$S42,INDIRECT(M$12&amp;".PPA"&amp;"!$H:$H")))),"")</f>
        <v/>
      </c>
      <c r="P42" s="21" t="str">
        <f ca="1">IFERROR(IF(SUMIF(INDIRECT(Cycle1Range&amp;".PPA"&amp;"!$D:$D"),$S42,INDIRECT(Cycle1Range&amp;".PPA"&amp;"!$H:$H"))=0,"",SUMIF(INDIRECT(Cycle1Range&amp;".PPA"&amp;"!$D:$D"),$S42,INDIRECT(Cycle1Range&amp;".PPA"&amp;"!$H:$H"))),"")</f>
        <v/>
      </c>
      <c r="Q42" s="21" t="str">
        <f ca="1">IFERROR($P42/ABS(INT(MID(cycle1Start,1,2)) - INT(MID(cycle1End,1,2))),"")</f>
        <v/>
      </c>
      <c r="R42" s="21" t="str">
        <f t="shared" ref="R42:R46" ca="1" si="32">IFERROR(IF(SUMIF(INDIRECT(P$12&amp;".PPA"&amp;"!$D:$D"),$S42,INDIRECT(P$12&amp;".PPA"&amp;"!$I:$I"))=0,"",(SUMIF(INDIRECT(P$12&amp;".PPA"&amp;"!$D:$D"),$S42,INDIRECT(P$12&amp;".PPA"&amp;"!$F:$F"))) / (SUMIF(INDIRECT(P$12&amp;".PPA"&amp;"!$D:$D"),$S42,INDIRECT(P$12&amp;".PPA"&amp;"!$H:$H")))),"")</f>
        <v/>
      </c>
      <c r="S42" s="288">
        <v>100407</v>
      </c>
      <c r="T42" s="285"/>
    </row>
    <row r="43" spans="2:20" ht="25" customHeight="1" x14ac:dyDescent="0.35">
      <c r="B43" s="349" t="s">
        <v>82</v>
      </c>
      <c r="C43" s="350"/>
      <c r="D43" s="20">
        <f ca="1">IFERROR(IF(SUMIF(INDIRECT(PickStageRange&amp;".PPA"&amp;"!$D:$D"),$S43,INDIRECT(PickStageRange&amp;".PPA"&amp;"!$H:$H"))=0,"",SUMIF(INDIRECT(PickStageRange&amp;".PPA"&amp;"!$D:$D"),$S43,INDIRECT(PickStageRange&amp;".PPA"&amp;"!$H:$H"))),"")</f>
        <v>30.684999999999999</v>
      </c>
      <c r="E43" s="20">
        <f ca="1">IFERROR($D43/ABS(INT(MID(PickStageStart,1,2)) - INT(MID(PickStageEnd,1,2))),"")</f>
        <v>10.228333333333333</v>
      </c>
      <c r="F43" s="20">
        <f t="shared" ca="1" si="28"/>
        <v>243.24588561186249</v>
      </c>
      <c r="G43" s="311">
        <f ca="1">IFERROR(IF(SUMIF(INDIRECT(MCORange&amp;".PPA"&amp;"!$D:$D"),$S43,INDIRECT(MCORange&amp;".PPA"&amp;"!$H:$H"))=0,"",SUMIF(INDIRECT(MCORange&amp;".PPA"&amp;"!$D:$D"),$S43,INDIRECT(MCORange&amp;".PPA"&amp;"!$H:$H"))),"")</f>
        <v>30.684999999999999</v>
      </c>
      <c r="H43" s="20">
        <f ca="1">IFERROR($G43/ABS(INT(MID(sortBStart,1,2)) - INT(MID(sortBEnd,1,2))),"")</f>
        <v>10.228333333333333</v>
      </c>
      <c r="I43" s="312">
        <f t="shared" ca="1" si="29"/>
        <v>243.24588561186249</v>
      </c>
      <c r="J43" s="20" t="str">
        <f ca="1">IFERROR(IF(SUMIF(INDIRECT(PFSDRange&amp;".PPA"&amp;"!$D:$D"),$S43,INDIRECT(PFSDRange&amp;".PPA"&amp;"!$H:$H"))=0,"",SUMIF(INDIRECT(PFSDRange&amp;".PPA"&amp;"!$D:$D"),$S43,INDIRECT(PFSDRange&amp;".PPA"&amp;"!$H:$H"))),"")</f>
        <v/>
      </c>
      <c r="K43" s="20" t="str">
        <f ca="1">IFERROR($J43/ABS(INT(MID(pfsdStart,1,2)) - INT(MID(pfsdEnd,1,2))),"")</f>
        <v/>
      </c>
      <c r="L43" s="20" t="str">
        <f t="shared" ca="1" si="30"/>
        <v/>
      </c>
      <c r="M43" s="311" t="str">
        <f ca="1">IFERROR(IF(SUMIF(INDIRECT(Cycle0Range&amp;".PPA"&amp;"!$D:$D"),$S43,INDIRECT(Cycle0Range&amp;".PPA"&amp;"!$H:$H"))=0,"",SUMIF(INDIRECT(Cycle0Range&amp;".PPA"&amp;"!$D:$D"),$S43,INDIRECT(Cycle0Range&amp;".PPA"&amp;"!$H:$H"))),"")</f>
        <v/>
      </c>
      <c r="N43" s="20" t="str">
        <f ca="1">IFERROR($M43/ABS(INT(MID(cycle0Start,1,2)) - INT(MID(cycle0End,1,2))),"")</f>
        <v/>
      </c>
      <c r="O43" s="312" t="str">
        <f t="shared" ca="1" si="31"/>
        <v/>
      </c>
      <c r="P43" s="20" t="str">
        <f ca="1">IFERROR(IF(SUMIF(INDIRECT(Cycle1Range&amp;".PPA"&amp;"!$D:$D"),$S43,INDIRECT(Cycle1Range&amp;".PPA"&amp;"!$H:$H"))=0,"",SUMIF(INDIRECT(Cycle1Range&amp;".PPA"&amp;"!$D:$D"),$S43,INDIRECT(Cycle1Range&amp;".PPA"&amp;"!$H:$H"))),"")</f>
        <v/>
      </c>
      <c r="Q43" s="20" t="str">
        <f ca="1">IFERROR($P43/ABS(INT(MID(cycle1Start,1,2)) - INT(MID(cycle1End,1,2))),"")</f>
        <v/>
      </c>
      <c r="R43" s="20" t="str">
        <f t="shared" ca="1" si="32"/>
        <v/>
      </c>
      <c r="S43" s="288">
        <v>100463</v>
      </c>
      <c r="T43" s="285"/>
    </row>
    <row r="44" spans="2:20" ht="25" customHeight="1" x14ac:dyDescent="0.35">
      <c r="B44" s="349" t="s">
        <v>10</v>
      </c>
      <c r="C44" s="350"/>
      <c r="D44" s="21">
        <f ca="1">IFERROR(IF(SUMIF(INDIRECT(PickStageRange&amp;".PPA"&amp;"!$D:$D"),$S44,INDIRECT(PickStageRange&amp;".PPA"&amp;"!$H:$H"))=0,"",SUMIF(INDIRECT(PickStageRange&amp;".PPA"&amp;"!$D:$D"),$S44,INDIRECT(PickStageRange&amp;".PPA"&amp;"!$H:$H"))),"")</f>
        <v>53.562777777777697</v>
      </c>
      <c r="E44" s="21">
        <f ca="1">IFERROR($D44/ABS(INT(MID(PickStageStart,1,2)) - INT(MID(PickStageEnd,1,2))),"")</f>
        <v>17.854259259259234</v>
      </c>
      <c r="F44" s="21">
        <f t="shared" ca="1" si="28"/>
        <v>139.35050252559324</v>
      </c>
      <c r="G44" s="305">
        <f ca="1">IFERROR(IF(SUMIF(INDIRECT(MCORange&amp;".PPA"&amp;"!$D:$D"),$S44,INDIRECT(MCORange&amp;".PPA"&amp;"!$H:$H"))=0,"",SUMIF(INDIRECT(MCORange&amp;".PPA"&amp;"!$D:$D"),$S44,INDIRECT(MCORange&amp;".PPA"&amp;"!$H:$H"))),"")</f>
        <v>53.562777777777697</v>
      </c>
      <c r="H44" s="21">
        <f ca="1">IFERROR($G44/ABS(INT(MID(sortBStart,1,2)) - INT(MID(sortBEnd,1,2))),"")</f>
        <v>17.854259259259234</v>
      </c>
      <c r="I44" s="306">
        <f t="shared" ca="1" si="29"/>
        <v>139.35050252559324</v>
      </c>
      <c r="J44" s="21">
        <f ca="1">IFERROR(IF(SUMIF(INDIRECT(PFSDRange&amp;".PPA"&amp;"!$D:$D"),$S44,INDIRECT(PFSDRange&amp;".PPA"&amp;"!$H:$H"))=0,"",SUMIF(INDIRECT(PFSDRange&amp;".PPA"&amp;"!$D:$D"),$S44,INDIRECT(PFSDRange&amp;".PPA"&amp;"!$H:$H"))),"")</f>
        <v>7.05277777777777</v>
      </c>
      <c r="K44" s="21">
        <f ca="1">IFERROR($J44/ABS(INT(MID(pfsdStart,1,2)) - INT(MID(pfsdEnd,1,2))),"")</f>
        <v>2.3509259259259232</v>
      </c>
      <c r="L44" s="21" t="str">
        <f t="shared" ca="1" si="30"/>
        <v/>
      </c>
      <c r="M44" s="305" t="str">
        <f ca="1">IFERROR(IF(SUMIF(INDIRECT(Cycle0Range&amp;".PPA"&amp;"!$D:$D"),$S44,INDIRECT(Cycle0Range&amp;".PPA"&amp;"!$H:$H"))=0,"",SUMIF(INDIRECT(Cycle0Range&amp;".PPA"&amp;"!$D:$D"),$S44,INDIRECT(Cycle0Range&amp;".PPA"&amp;"!$H:$H"))),"")</f>
        <v/>
      </c>
      <c r="N44" s="21" t="str">
        <f ca="1">IFERROR($M44/ABS(INT(MID(cycle0Start,1,2)) - INT(MID(cycle0End,1,2))),"")</f>
        <v/>
      </c>
      <c r="O44" s="306" t="str">
        <f t="shared" ca="1" si="31"/>
        <v/>
      </c>
      <c r="P44" s="21" t="str">
        <f ca="1">IFERROR(IF(SUMIF(INDIRECT(Cycle1Range&amp;".PPA"&amp;"!$D:$D"),$S44,INDIRECT(Cycle1Range&amp;".PPA"&amp;"!$H:$H"))=0,"",SUMIF(INDIRECT(Cycle1Range&amp;".PPA"&amp;"!$D:$D"),$S44,INDIRECT(Cycle1Range&amp;".PPA"&amp;"!$H:$H"))),"")</f>
        <v/>
      </c>
      <c r="Q44" s="21" t="str">
        <f ca="1">IFERROR($P44/ABS(INT(MID(cycle1Start,1,2)) - INT(MID(cycle1End,1,2))),"")</f>
        <v/>
      </c>
      <c r="R44" s="21" t="str">
        <f t="shared" ca="1" si="32"/>
        <v/>
      </c>
      <c r="S44" s="288">
        <v>100411</v>
      </c>
      <c r="T44" s="285"/>
    </row>
    <row r="45" spans="2:20" ht="25" customHeight="1" x14ac:dyDescent="0.35">
      <c r="B45" s="349" t="s">
        <v>11</v>
      </c>
      <c r="C45" s="350"/>
      <c r="D45" s="20">
        <f ca="1">IFERROR(IF(SUMIF(INDIRECT(PickStageRange&amp;".PPA"&amp;"!$D:$D"),$S45,INDIRECT(PickStageRange&amp;".PPA"&amp;"!$H:$H"))=0,"",SUMIF(INDIRECT(PickStageRange&amp;".PPA"&amp;"!$D:$D"),$S45,INDIRECT(PickStageRange&amp;".PPA"&amp;"!$H:$H"))),"")</f>
        <v>6.39472222222222</v>
      </c>
      <c r="E45" s="20">
        <f ca="1">IFERROR($D45/ABS(INT(MID(PickStageStart,1,2)) - INT(MID(PickStageEnd,1,2))),"")</f>
        <v>2.1315740740740732</v>
      </c>
      <c r="F45" s="20">
        <f t="shared" ca="1" si="28"/>
        <v>1167.2125450675474</v>
      </c>
      <c r="G45" s="311">
        <f ca="1">IFERROR(IF(SUMIF(INDIRECT(MCORange&amp;".PPA"&amp;"!$D:$D"),$S45,INDIRECT(MCORange&amp;".PPA"&amp;"!$H:$H"))=0,"",SUMIF(INDIRECT(MCORange&amp;".PPA"&amp;"!$D:$D"),$S45,INDIRECT(MCORange&amp;".PPA"&amp;"!$H:$H"))),"")</f>
        <v>6.39472222222222</v>
      </c>
      <c r="H45" s="20">
        <f ca="1">IFERROR($G45/ABS(INT(MID(sortBStart,1,2)) - INT(MID(sortBEnd,1,2))),"")</f>
        <v>2.1315740740740732</v>
      </c>
      <c r="I45" s="312">
        <f t="shared" ca="1" si="29"/>
        <v>1167.2125450675474</v>
      </c>
      <c r="J45" s="20">
        <f ca="1">IFERROR(IF(SUMIF(INDIRECT(PFSDRange&amp;".PPA"&amp;"!$D:$D"),$S45,INDIRECT(PFSDRange&amp;".PPA"&amp;"!$H:$H"))=0,"",SUMIF(INDIRECT(PFSDRange&amp;".PPA"&amp;"!$D:$D"),$S45,INDIRECT(PFSDRange&amp;".PPA"&amp;"!$H:$H"))),"")</f>
        <v>13.6</v>
      </c>
      <c r="K45" s="20">
        <f ca="1">IFERROR($J45/ABS(INT(MID(pfsdStart,1,2)) - INT(MID(pfsdEnd,1,2))),"")</f>
        <v>4.5333333333333332</v>
      </c>
      <c r="L45" s="20" t="str">
        <f t="shared" ca="1" si="30"/>
        <v/>
      </c>
      <c r="M45" s="311" t="str">
        <f ca="1">IFERROR(IF(SUMIF(INDIRECT(Cycle0Range&amp;".PPA"&amp;"!$D:$D"),$S45,INDIRECT(Cycle0Range&amp;".PPA"&amp;"!$H:$H"))=0,"",SUMIF(INDIRECT(Cycle0Range&amp;".PPA"&amp;"!$D:$D"),$S45,INDIRECT(Cycle0Range&amp;".PPA"&amp;"!$H:$H"))),"")</f>
        <v/>
      </c>
      <c r="N45" s="20" t="str">
        <f ca="1">IFERROR($M45/ABS(INT(MID(cycle0Start,1,2)) - INT(MID(cycle0End,1,2))),"")</f>
        <v/>
      </c>
      <c r="O45" s="312" t="str">
        <f t="shared" ca="1" si="31"/>
        <v/>
      </c>
      <c r="P45" s="20" t="str">
        <f ca="1">IFERROR(IF(SUMIF(INDIRECT(Cycle1Range&amp;".PPA"&amp;"!$D:$D"),$S45,INDIRECT(Cycle1Range&amp;".PPA"&amp;"!$H:$H"))=0,"",SUMIF(INDIRECT(Cycle1Range&amp;".PPA"&amp;"!$D:$D"),$S45,INDIRECT(Cycle1Range&amp;".PPA"&amp;"!$H:$H"))),"")</f>
        <v/>
      </c>
      <c r="Q45" s="20" t="str">
        <f ca="1">IFERROR($P45/ABS(INT(MID(cycle1Start,1,2)) - INT(MID(cycle1End,1,2))),"")</f>
        <v/>
      </c>
      <c r="R45" s="20" t="str">
        <f t="shared" ca="1" si="32"/>
        <v/>
      </c>
      <c r="S45" s="288">
        <v>100410</v>
      </c>
      <c r="T45" s="285"/>
    </row>
    <row r="46" spans="2:20" ht="25" customHeight="1" thickBot="1" x14ac:dyDescent="0.4">
      <c r="B46" s="376" t="s">
        <v>89</v>
      </c>
      <c r="C46" s="377"/>
      <c r="D46" s="21">
        <f ca="1">IFERROR(IF(SUMIF(INDIRECT(PickStageRange&amp;".PPA"&amp;"!$D:$D"),$S46,INDIRECT(PickStageRange&amp;".PPA"&amp;"!$H:$H"))=0,"",SUMIF(INDIRECT(PickStageRange&amp;".PPA"&amp;"!$D:$D"),$S46,INDIRECT(PickStageRange&amp;".PPA"&amp;"!$H:$H"))),"")</f>
        <v>6.56</v>
      </c>
      <c r="E46" s="21">
        <f ca="1">IFERROR($D46/ABS(INT(MID(PickStageStart,1,2)) - INT(MID(PickStageEnd,1,2))),"")</f>
        <v>2.1866666666666665</v>
      </c>
      <c r="F46" s="21">
        <f t="shared" ca="1" si="28"/>
        <v>1137.8048780487807</v>
      </c>
      <c r="G46" s="305">
        <f ca="1">IFERROR(IF(SUMIF(INDIRECT(MCORange&amp;".PPA"&amp;"!$D:$D"),$S46,INDIRECT(MCORange&amp;".PPA"&amp;"!$H:$H"))=0,"",SUMIF(INDIRECT(MCORange&amp;".PPA"&amp;"!$D:$D"),$S46,INDIRECT(MCORange&amp;".PPA"&amp;"!$H:$H"))),"")</f>
        <v>6.56</v>
      </c>
      <c r="H46" s="21">
        <f ca="1">IFERROR($G46/ABS(INT(MID(sortBStart,1,2)) - INT(MID(sortBEnd,1,2))),"")</f>
        <v>2.1866666666666665</v>
      </c>
      <c r="I46" s="306">
        <f t="shared" ca="1" si="29"/>
        <v>1137.8048780487807</v>
      </c>
      <c r="J46" s="21">
        <f ca="1">IFERROR(IF(SUMIF(INDIRECT(PFSDRange&amp;".PPA"&amp;"!$D:$D"),$S46,INDIRECT(PFSDRange&amp;".PPA"&amp;"!$H:$H"))=0,"",SUMIF(INDIRECT(PFSDRange&amp;".PPA"&amp;"!$D:$D"),$S46,INDIRECT(PFSDRange&amp;".PPA"&amp;"!$H:$H"))),"")</f>
        <v>22.5697222222222</v>
      </c>
      <c r="K46" s="21">
        <f ca="1">IFERROR($J46/ABS(INT(MID(pfsdStart,1,2)) - INT(MID(pfsdEnd,1,2))),"")</f>
        <v>7.5232407407407331</v>
      </c>
      <c r="L46" s="21" t="str">
        <f t="shared" ca="1" si="30"/>
        <v/>
      </c>
      <c r="M46" s="305" t="str">
        <f ca="1">IFERROR(IF(SUMIF(INDIRECT(Cycle0Range&amp;".PPA"&amp;"!$D:$D"),$S46,INDIRECT(Cycle0Range&amp;".PPA"&amp;"!$H:$H"))=0,"",SUMIF(INDIRECT(Cycle0Range&amp;".PPA"&amp;"!$D:$D"),$S46,INDIRECT(Cycle0Range&amp;".PPA"&amp;"!$H:$H"))),"")</f>
        <v/>
      </c>
      <c r="N46" s="21" t="str">
        <f ca="1">IFERROR($M46/ABS(INT(MID(cycle0Start,1,2)) - INT(MID(cycle0End,1,2))),"")</f>
        <v/>
      </c>
      <c r="O46" s="306" t="str">
        <f t="shared" ca="1" si="31"/>
        <v/>
      </c>
      <c r="P46" s="21" t="str">
        <f ca="1">IFERROR(IF(SUMIF(INDIRECT(Cycle1Range&amp;".PPA"&amp;"!$D:$D"),$S46,INDIRECT(Cycle1Range&amp;".PPA"&amp;"!$H:$H"))=0,"",SUMIF(INDIRECT(Cycle1Range&amp;".PPA"&amp;"!$D:$D"),$S46,INDIRECT(Cycle1Range&amp;".PPA"&amp;"!$H:$H"))),"")</f>
        <v/>
      </c>
      <c r="Q46" s="21" t="str">
        <f ca="1">IFERROR($P46/ABS(INT(MID(cycle1Start,1,2)) - INT(MID(cycle1End,1,2))),"")</f>
        <v/>
      </c>
      <c r="R46" s="21" t="str">
        <f t="shared" ca="1" si="32"/>
        <v/>
      </c>
      <c r="S46" s="288">
        <v>100462</v>
      </c>
      <c r="T46" s="285"/>
    </row>
    <row r="47" spans="2:20" ht="25" customHeight="1" thickTop="1" thickBot="1" x14ac:dyDescent="0.4">
      <c r="B47" s="359" t="s">
        <v>90</v>
      </c>
      <c r="C47" s="360"/>
      <c r="D47" s="280">
        <f t="shared" ref="D47:R47" ca="1" si="33">SUM(D42:D46)</f>
        <v>238.57361111111098</v>
      </c>
      <c r="E47" s="281">
        <f t="shared" ca="1" si="33"/>
        <v>79.524537037036993</v>
      </c>
      <c r="F47" s="281">
        <f t="shared" ca="1" si="33"/>
        <v>2740.4110195471644</v>
      </c>
      <c r="G47" s="309">
        <f t="shared" ca="1" si="33"/>
        <v>238.57361111111098</v>
      </c>
      <c r="H47" s="281">
        <f t="shared" ca="1" si="33"/>
        <v>79.524537037036993</v>
      </c>
      <c r="I47" s="310">
        <f t="shared" ca="1" si="33"/>
        <v>2740.4110195471644</v>
      </c>
      <c r="J47" s="281">
        <f t="shared" ca="1" si="33"/>
        <v>43.222499999999968</v>
      </c>
      <c r="K47" s="281">
        <f t="shared" ca="1" si="33"/>
        <v>14.407499999999988</v>
      </c>
      <c r="L47" s="281">
        <f t="shared" ca="1" si="33"/>
        <v>0</v>
      </c>
      <c r="M47" s="309">
        <f t="shared" ca="1" si="33"/>
        <v>0</v>
      </c>
      <c r="N47" s="281">
        <f t="shared" ca="1" si="33"/>
        <v>0</v>
      </c>
      <c r="O47" s="310">
        <f t="shared" ca="1" si="33"/>
        <v>0</v>
      </c>
      <c r="P47" s="281">
        <f t="shared" ca="1" si="33"/>
        <v>0</v>
      </c>
      <c r="Q47" s="281">
        <f t="shared" ca="1" si="33"/>
        <v>0</v>
      </c>
      <c r="R47" s="281">
        <f t="shared" ca="1" si="33"/>
        <v>0</v>
      </c>
      <c r="S47" s="288"/>
      <c r="T47" s="286"/>
    </row>
    <row r="48" spans="2:20" ht="25" customHeight="1" thickTop="1" x14ac:dyDescent="0.35">
      <c r="B48" s="359" t="s">
        <v>91</v>
      </c>
      <c r="C48" s="360"/>
      <c r="D48" s="280">
        <f t="shared" ref="D48:R48" ca="1" si="34">SUM(D40,D33,D28,D47)</f>
        <v>518.48444444444408</v>
      </c>
      <c r="E48" s="281">
        <f t="shared" ca="1" si="34"/>
        <v>172.82814814814799</v>
      </c>
      <c r="F48" s="281">
        <f t="shared" ca="1" si="34"/>
        <v>13017.652165915173</v>
      </c>
      <c r="G48" s="309">
        <f t="shared" ca="1" si="34"/>
        <v>518.48444444444408</v>
      </c>
      <c r="H48" s="281">
        <f t="shared" ca="1" si="34"/>
        <v>172.82814814814799</v>
      </c>
      <c r="I48" s="310">
        <f t="shared" ca="1" si="34"/>
        <v>13017.652165915173</v>
      </c>
      <c r="J48" s="281">
        <f t="shared" ca="1" si="34"/>
        <v>86.316944444444303</v>
      </c>
      <c r="K48" s="281">
        <f t="shared" ca="1" si="34"/>
        <v>28.772314814814766</v>
      </c>
      <c r="L48" s="281">
        <f t="shared" ca="1" si="34"/>
        <v>15416.731336853809</v>
      </c>
      <c r="M48" s="309">
        <f t="shared" ca="1" si="34"/>
        <v>0</v>
      </c>
      <c r="N48" s="281">
        <f t="shared" ca="1" si="34"/>
        <v>0</v>
      </c>
      <c r="O48" s="310">
        <f t="shared" ca="1" si="34"/>
        <v>0</v>
      </c>
      <c r="P48" s="281">
        <f t="shared" ca="1" si="34"/>
        <v>0</v>
      </c>
      <c r="Q48" s="281">
        <f t="shared" ca="1" si="34"/>
        <v>0</v>
      </c>
      <c r="R48" s="281">
        <f t="shared" ca="1" si="34"/>
        <v>0</v>
      </c>
      <c r="S48" s="288"/>
      <c r="T48" s="286"/>
    </row>
    <row r="49" spans="1:27" ht="25" customHeight="1" x14ac:dyDescent="0.35">
      <c r="B49" s="292"/>
      <c r="C49" s="40"/>
      <c r="D49" s="363" t="s">
        <v>45</v>
      </c>
      <c r="E49" s="364"/>
      <c r="F49" s="364"/>
      <c r="G49" s="364"/>
      <c r="H49" s="364"/>
      <c r="I49" s="364"/>
      <c r="J49" s="364"/>
      <c r="K49" s="364"/>
      <c r="L49" s="364"/>
      <c r="M49" s="364"/>
      <c r="N49" s="364"/>
      <c r="O49" s="364"/>
      <c r="P49" s="364"/>
      <c r="Q49" s="364"/>
      <c r="R49" s="364"/>
      <c r="S49" s="289"/>
      <c r="T49" s="287"/>
    </row>
    <row r="50" spans="1:27" ht="25" customHeight="1" x14ac:dyDescent="0.35">
      <c r="B50" s="357" t="s">
        <v>236</v>
      </c>
      <c r="C50" s="358"/>
      <c r="D50" s="479">
        <f ca="1">IFERROR(IF(SUMIF(INDIRECT(D$12&amp;".PPA"&amp;"!$D:$D"),$S30,INDIRECT(D$12&amp;".PPA"&amp;"!$F:$F"))=0,"",SUMIF(INDIRECT(D$12&amp;".PPA"&amp;"!$D:$D"),$S30,INDIRECT(D$12&amp;".PPA"&amp;"!$F:$F"))),"")</f>
        <v>19414</v>
      </c>
      <c r="E50" s="473" t="str">
        <f t="shared" ref="D50:F50" ca="1" si="35">IFERROR(IF(SUMIF(INDIRECT(C$12&amp;".PPA"&amp;"!$D:$D"),$S50,INDIRECT(C$12&amp;".PPA"&amp;"!$I:$I"))=0,"",SUMIF(INDIRECT(C$12&amp;".PPA"&amp;"!$D:$D"),$S50,INDIRECT(C$12&amp;".PPA"&amp;"!$I:$I"))),"")</f>
        <v/>
      </c>
      <c r="F50" s="473" t="str">
        <f t="shared" ca="1" si="35"/>
        <v/>
      </c>
      <c r="G50" s="472">
        <f ca="1">IFERROR(IF(SUMIF(INDIRECT(G$12&amp;".PPA"&amp;"!$D:$D"),$S30,INDIRECT(G$12&amp;".PPA"&amp;"!$F:$F"))=0,"",SUMIF(INDIRECT(G$12&amp;".PPA"&amp;"!$D:$D"),$S30,INDIRECT(G$12&amp;".PPA"&amp;"!$F:$F"))),"")</f>
        <v>19414</v>
      </c>
      <c r="H50" s="473" t="str">
        <f t="shared" ref="H50" ca="1" si="36">IFERROR(IF(SUMIF(INDIRECT(F$12&amp;".PPA"&amp;"!$D:$D"),$S50,INDIRECT(F$12&amp;".PPA"&amp;"!$I:$I"))=0,"",SUMIF(INDIRECT(F$12&amp;".PPA"&amp;"!$D:$D"),$S50,INDIRECT(F$12&amp;".PPA"&amp;"!$I:$I"))),"")</f>
        <v/>
      </c>
      <c r="I50" s="474" t="str">
        <f t="shared" ref="I50" ca="1" si="37">IFERROR(IF(SUMIF(INDIRECT(G$12&amp;".PPA"&amp;"!$D:$D"),$S50,INDIRECT(G$12&amp;".PPA"&amp;"!$I:$I"))=0,"",SUMIF(INDIRECT(G$12&amp;".PPA"&amp;"!$D:$D"),$S50,INDIRECT(G$12&amp;".PPA"&amp;"!$I:$I"))),"")</f>
        <v/>
      </c>
      <c r="J50" s="473">
        <f ca="1">IFERROR(IF(SUMIF(INDIRECT(J$12&amp;".PPA"&amp;"!$D:$D"),$S30,INDIRECT(J$12&amp;".PPA"&amp;"!$F:$F"))=0,"",SUMIF(INDIRECT(J$12&amp;".PPA"&amp;"!$D:$D"),$S30,INDIRECT(J$12&amp;".PPA"&amp;"!$F:$F"))),"")</f>
        <v>2066</v>
      </c>
      <c r="K50" s="473" t="str">
        <f t="shared" ref="K50" ca="1" si="38">IFERROR(IF(SUMIF(INDIRECT(I$12&amp;".PPA"&amp;"!$D:$D"),$S50,INDIRECT(I$12&amp;".PPA"&amp;"!$I:$I"))=0,"",SUMIF(INDIRECT(I$12&amp;".PPA"&amp;"!$D:$D"),$S50,INDIRECT(I$12&amp;".PPA"&amp;"!$I:$I"))),"")</f>
        <v/>
      </c>
      <c r="L50" s="473" t="str">
        <f t="shared" ref="L50" ca="1" si="39">IFERROR(IF(SUMIF(INDIRECT(J$12&amp;".PPA"&amp;"!$D:$D"),$S50,INDIRECT(J$12&amp;".PPA"&amp;"!$I:$I"))=0,"",SUMIF(INDIRECT(J$12&amp;".PPA"&amp;"!$D:$D"),$S50,INDIRECT(J$12&amp;".PPA"&amp;"!$I:$I"))),"")</f>
        <v/>
      </c>
      <c r="M50" s="472" t="str">
        <f ca="1">IFERROR(IF(SUMIF(INDIRECT(M$12&amp;".PPA"&amp;"!$D:$D"),$S30,INDIRECT(M$12&amp;".PPA"&amp;"!$F:$F"))=0,"",SUMIF(INDIRECT(M$12&amp;".PPA"&amp;"!$D:$D"),$S30,INDIRECT(M$12&amp;".PPA"&amp;"!$F:$F"))),"")</f>
        <v/>
      </c>
      <c r="N50" s="473" t="str">
        <f t="shared" ref="N50" ca="1" si="40">IFERROR(IF(SUMIF(INDIRECT(L$12&amp;".PPA"&amp;"!$D:$D"),$S50,INDIRECT(L$12&amp;".PPA"&amp;"!$I:$I"))=0,"",SUMIF(INDIRECT(L$12&amp;".PPA"&amp;"!$D:$D"),$S50,INDIRECT(L$12&amp;".PPA"&amp;"!$I:$I"))),"")</f>
        <v/>
      </c>
      <c r="O50" s="474" t="str">
        <f t="shared" ref="O50" ca="1" si="41">IFERROR(IF(SUMIF(INDIRECT(M$12&amp;".PPA"&amp;"!$D:$D"),$S50,INDIRECT(M$12&amp;".PPA"&amp;"!$I:$I"))=0,"",SUMIF(INDIRECT(M$12&amp;".PPA"&amp;"!$D:$D"),$S50,INDIRECT(M$12&amp;".PPA"&amp;"!$I:$I"))),"")</f>
        <v/>
      </c>
      <c r="P50" s="473" t="str">
        <f ca="1">IFERROR(IF(SUMIF(INDIRECT(P$12&amp;".PPA"&amp;"!$D:$D"),$S30,INDIRECT(P$12&amp;".PPA"&amp;"!$F:$F"))=0,"",SUMIF(INDIRECT(P$12&amp;".PPA"&amp;"!$D:$D"),$S30,INDIRECT(P$12&amp;".PPA"&amp;"!$F:$F"))),"")</f>
        <v/>
      </c>
      <c r="Q50" s="473" t="str">
        <f t="shared" ref="Q50" ca="1" si="42">IFERROR(IF(SUMIF(INDIRECT(O$12&amp;".PPA"&amp;"!$D:$D"),$S50,INDIRECT(O$12&amp;".PPA"&amp;"!$I:$I"))=0,"",SUMIF(INDIRECT(O$12&amp;".PPA"&amp;"!$D:$D"),$S50,INDIRECT(O$12&amp;".PPA"&amp;"!$I:$I"))),"")</f>
        <v/>
      </c>
      <c r="R50" s="473" t="str">
        <f t="shared" ref="R50" ca="1" si="43">IFERROR(IF(SUMIF(INDIRECT(P$12&amp;".PPA"&amp;"!$D:$D"),$S50,INDIRECT(P$12&amp;".PPA"&amp;"!$I:$I"))=0,"",SUMIF(INDIRECT(P$12&amp;".PPA"&amp;"!$D:$D"),$S50,INDIRECT(P$12&amp;".PPA"&amp;"!$I:$I"))),"")</f>
        <v/>
      </c>
      <c r="S50" s="288"/>
      <c r="T50" s="287"/>
    </row>
    <row r="51" spans="1:27" ht="25" customHeight="1" thickBot="1" x14ac:dyDescent="0.4">
      <c r="B51" s="361" t="s">
        <v>248</v>
      </c>
      <c r="C51" s="362"/>
      <c r="D51" s="475">
        <f ca="1">IFERROR(D19/SUM($E$48:E48),"")</f>
        <v>112.33123890998561</v>
      </c>
      <c r="E51" s="476"/>
      <c r="F51" s="476"/>
      <c r="G51" s="477">
        <f ca="1">IFERROR(G19/SUM($E$48:G48),"")</f>
        <v>2.832307229902491</v>
      </c>
      <c r="H51" s="476"/>
      <c r="I51" s="478"/>
      <c r="J51" s="476">
        <f ca="1">IFERROR(J19/SUM($E$48:J48),"")</f>
        <v>1.5153917081983754</v>
      </c>
      <c r="K51" s="476"/>
      <c r="L51" s="476"/>
      <c r="M51" s="477" t="str">
        <f ca="1">IFERROR(M19/SUM($E$48:M48),"")</f>
        <v/>
      </c>
      <c r="N51" s="476"/>
      <c r="O51" s="478"/>
      <c r="P51" s="476" t="str">
        <f ca="1">IFERROR(P19/SUM($E$48:P48),"")</f>
        <v/>
      </c>
      <c r="Q51" s="476"/>
      <c r="R51" s="476"/>
      <c r="S51" s="288"/>
      <c r="T51" s="287"/>
    </row>
    <row r="52" spans="1:27" ht="15" thickTop="1" x14ac:dyDescent="0.35">
      <c r="D52" s="471" t="s">
        <v>244</v>
      </c>
      <c r="E52" s="471" t="s">
        <v>224</v>
      </c>
      <c r="F52" s="471"/>
      <c r="G52" s="471" t="s">
        <v>244</v>
      </c>
      <c r="H52" s="471" t="s">
        <v>224</v>
      </c>
      <c r="I52" s="471"/>
      <c r="J52" s="471" t="s">
        <v>245</v>
      </c>
      <c r="K52" s="471" t="s">
        <v>243</v>
      </c>
      <c r="L52" s="471"/>
      <c r="M52" s="471" t="s">
        <v>244</v>
      </c>
      <c r="N52" s="471" t="s">
        <v>224</v>
      </c>
      <c r="O52" s="471"/>
      <c r="P52" s="471" t="s">
        <v>246</v>
      </c>
      <c r="Q52" s="471" t="s">
        <v>247</v>
      </c>
      <c r="R52" s="470"/>
    </row>
    <row r="53" spans="1:27" ht="14.5" x14ac:dyDescent="0.35"/>
    <row r="54" spans="1:27" ht="14.5" x14ac:dyDescent="0.35">
      <c r="B54" s="85"/>
    </row>
    <row r="55" spans="1:27" ht="14.5" x14ac:dyDescent="0.35">
      <c r="B55" s="85"/>
    </row>
    <row r="56" spans="1:27" ht="14.5" x14ac:dyDescent="0.35"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</row>
    <row r="57" spans="1:27" ht="14.5" x14ac:dyDescent="0.35">
      <c r="B57" s="294"/>
      <c r="C57" s="294"/>
      <c r="D57" s="294"/>
      <c r="E57" s="294"/>
      <c r="F57" s="294"/>
      <c r="G57" s="294"/>
      <c r="H57" s="294"/>
      <c r="I57" s="294"/>
      <c r="J57" s="294"/>
      <c r="K57" s="294"/>
      <c r="L57" s="294"/>
      <c r="M57" s="294"/>
      <c r="N57" s="294"/>
      <c r="O57" s="294"/>
      <c r="P57" s="294"/>
      <c r="Q57" s="294"/>
      <c r="R57" s="294"/>
    </row>
    <row r="58" spans="1:27" s="7" customFormat="1" ht="14.5" x14ac:dyDescent="0.35">
      <c r="A58" s="57"/>
      <c r="B58" s="294"/>
      <c r="C58" s="294"/>
      <c r="D58" s="294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294"/>
      <c r="P58" s="294"/>
      <c r="Q58" s="294"/>
      <c r="R58" s="294"/>
      <c r="S58" s="191"/>
      <c r="T58" s="57"/>
      <c r="U58" s="57"/>
      <c r="V58" s="57"/>
      <c r="Z58" s="8"/>
    </row>
    <row r="59" spans="1:27" s="7" customFormat="1" ht="14.5" x14ac:dyDescent="0.35">
      <c r="A59" s="57"/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4"/>
      <c r="P59" s="294"/>
      <c r="Q59" s="294"/>
      <c r="R59" s="294"/>
      <c r="S59" s="192"/>
      <c r="T59" s="84"/>
      <c r="U59" s="57"/>
      <c r="V59" s="57"/>
      <c r="AA59" s="8"/>
    </row>
    <row r="60" spans="1:27" s="7" customFormat="1" ht="14.5" x14ac:dyDescent="0.3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192"/>
      <c r="T60" s="84"/>
      <c r="U60" s="57"/>
      <c r="V60" s="57"/>
      <c r="AA60" s="8"/>
    </row>
    <row r="61" spans="1:27" s="7" customFormat="1" ht="14.5" x14ac:dyDescent="0.3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192"/>
      <c r="T61" s="84"/>
      <c r="U61" s="57"/>
      <c r="V61" s="57"/>
      <c r="AA61" s="8"/>
    </row>
    <row r="62" spans="1:27" s="7" customFormat="1" ht="14.5" x14ac:dyDescent="0.3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192"/>
      <c r="T62" s="84"/>
      <c r="U62" s="57"/>
      <c r="V62" s="57"/>
      <c r="AA62" s="8"/>
    </row>
    <row r="63" spans="1:27" s="7" customFormat="1" ht="14.5" hidden="1" x14ac:dyDescent="0.3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192"/>
      <c r="T63" s="84"/>
      <c r="U63" s="57"/>
      <c r="V63" s="57"/>
      <c r="AA63" s="8"/>
    </row>
    <row r="64" spans="1:27" s="7" customFormat="1" ht="14.5" hidden="1" x14ac:dyDescent="0.3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192"/>
      <c r="T64" s="84"/>
      <c r="U64" s="57"/>
      <c r="V64" s="57"/>
      <c r="AA64" s="8"/>
    </row>
    <row r="65" spans="1:27" s="7" customFormat="1" ht="14.5" hidden="1" x14ac:dyDescent="0.3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192"/>
      <c r="T65" s="84"/>
      <c r="U65" s="57"/>
      <c r="V65" s="57"/>
      <c r="AA65" s="8"/>
    </row>
    <row r="66" spans="1:27" s="7" customFormat="1" ht="14.5" hidden="1" x14ac:dyDescent="0.3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192"/>
      <c r="T66" s="84"/>
      <c r="U66" s="57"/>
      <c r="V66" s="57"/>
    </row>
    <row r="67" spans="1:27" ht="14.5" hidden="1" x14ac:dyDescent="0.35"/>
    <row r="68" spans="1:27" ht="14.5" hidden="1" x14ac:dyDescent="0.35"/>
    <row r="69" spans="1:27" ht="14.5" hidden="1" x14ac:dyDescent="0.35"/>
    <row r="70" spans="1:27" ht="14.5" hidden="1" x14ac:dyDescent="0.35"/>
    <row r="71" spans="1:27" ht="14.5" hidden="1" x14ac:dyDescent="0.35"/>
    <row r="72" spans="1:27" ht="14.5" hidden="1" x14ac:dyDescent="0.35"/>
    <row r="73" spans="1:27" ht="14.5" hidden="1" x14ac:dyDescent="0.35"/>
    <row r="74" spans="1:27" ht="14.5" hidden="1" x14ac:dyDescent="0.35"/>
    <row r="75" spans="1:27" ht="14.5" hidden="1" x14ac:dyDescent="0.35"/>
    <row r="76" spans="1:27" ht="14.5" hidden="1" x14ac:dyDescent="0.35"/>
    <row r="77" spans="1:27" ht="14.5" hidden="1" x14ac:dyDescent="0.35"/>
    <row r="78" spans="1:27" ht="14.5" hidden="1" x14ac:dyDescent="0.35"/>
    <row r="79" spans="1:27" ht="14.5" hidden="1" x14ac:dyDescent="0.35"/>
    <row r="80" spans="1:27" ht="14.5" hidden="1" x14ac:dyDescent="0.35"/>
    <row r="81" ht="14.5" hidden="1" x14ac:dyDescent="0.35"/>
    <row r="82" ht="14.5" hidden="1" x14ac:dyDescent="0.35"/>
    <row r="83" ht="14.5" hidden="1" x14ac:dyDescent="0.35"/>
    <row r="84" ht="14.5" hidden="1" x14ac:dyDescent="0.35"/>
    <row r="85" ht="14.5" hidden="1" x14ac:dyDescent="0.35"/>
    <row r="86" ht="14.5" hidden="1" x14ac:dyDescent="0.35"/>
    <row r="87" ht="14.5" hidden="1" x14ac:dyDescent="0.35"/>
    <row r="88" ht="14.5" hidden="1" x14ac:dyDescent="0.35"/>
    <row r="89" ht="14.5" hidden="1" x14ac:dyDescent="0.35"/>
    <row r="90" ht="14.5" hidden="1" x14ac:dyDescent="0.35"/>
    <row r="91" ht="14.5" hidden="1" x14ac:dyDescent="0.35"/>
    <row r="92" ht="14.5" hidden="1" x14ac:dyDescent="0.35"/>
    <row r="93" ht="14.5" hidden="1" x14ac:dyDescent="0.35"/>
    <row r="94" ht="14.5" hidden="1" x14ac:dyDescent="0.35"/>
    <row r="95" ht="14.5" hidden="1" x14ac:dyDescent="0.35"/>
    <row r="96" ht="14.5" hidden="1" x14ac:dyDescent="0.35"/>
    <row r="97" ht="14.5" hidden="1" x14ac:dyDescent="0.35"/>
    <row r="98" ht="14.5" hidden="1" customHeight="1" x14ac:dyDescent="0.35"/>
    <row r="99" ht="14.5" hidden="1" customHeight="1" x14ac:dyDescent="0.35"/>
    <row r="100" ht="14.5" hidden="1" customHeight="1" x14ac:dyDescent="0.35"/>
    <row r="101" ht="14.5" hidden="1" customHeight="1" x14ac:dyDescent="0.35"/>
    <row r="102" ht="14.5" hidden="1" customHeight="1" x14ac:dyDescent="0.35"/>
    <row r="103" ht="14.5" hidden="1" customHeight="1" x14ac:dyDescent="0.35"/>
    <row r="104" ht="14.5" hidden="1" customHeight="1" x14ac:dyDescent="0.35"/>
    <row r="105" ht="14.5" hidden="1" customHeight="1" x14ac:dyDescent="0.35"/>
    <row r="106" ht="14.5" hidden="1" customHeight="1" x14ac:dyDescent="0.35"/>
    <row r="107" ht="14.5" hidden="1" customHeight="1" x14ac:dyDescent="0.35"/>
    <row r="108" ht="14.5" hidden="1" customHeight="1" x14ac:dyDescent="0.35"/>
    <row r="109" ht="14.5" hidden="1" customHeight="1" x14ac:dyDescent="0.35"/>
    <row r="110" ht="14.5" hidden="1" customHeight="1" x14ac:dyDescent="0.35"/>
    <row r="111" ht="14.5" hidden="1" customHeight="1" x14ac:dyDescent="0.35"/>
    <row r="112" ht="14.5" hidden="1" customHeight="1" x14ac:dyDescent="0.35"/>
    <row r="113" ht="14.5" hidden="1" customHeight="1" x14ac:dyDescent="0.35"/>
    <row r="114" ht="14.5" hidden="1" customHeight="1" x14ac:dyDescent="0.35"/>
    <row r="115" ht="14.5" hidden="1" customHeight="1" x14ac:dyDescent="0.35"/>
    <row r="116" ht="14.5" hidden="1" customHeight="1" x14ac:dyDescent="0.35"/>
    <row r="117" ht="14.5" hidden="1" customHeight="1" x14ac:dyDescent="0.35"/>
    <row r="118" ht="14.5" hidden="1" customHeight="1" x14ac:dyDescent="0.35"/>
    <row r="119" ht="14.5" hidden="1" customHeight="1" x14ac:dyDescent="0.35"/>
    <row r="120" ht="14.5" hidden="1" customHeight="1" x14ac:dyDescent="0.35"/>
    <row r="121" ht="14.5" hidden="1" customHeight="1" x14ac:dyDescent="0.35"/>
    <row r="122" ht="14.5" hidden="1" customHeight="1" x14ac:dyDescent="0.35"/>
    <row r="123" ht="14.5" hidden="1" customHeight="1" x14ac:dyDescent="0.35"/>
    <row r="124" ht="14.5" hidden="1" customHeight="1" x14ac:dyDescent="0.35"/>
  </sheetData>
  <dataConsolidate/>
  <mergeCells count="96">
    <mergeCell ref="P21:R21"/>
    <mergeCell ref="M21:O21"/>
    <mergeCell ref="J21:L21"/>
    <mergeCell ref="G21:I21"/>
    <mergeCell ref="P18:R18"/>
    <mergeCell ref="M18:O18"/>
    <mergeCell ref="J18:L18"/>
    <mergeCell ref="G18:I18"/>
    <mergeCell ref="D18:F18"/>
    <mergeCell ref="P19:R19"/>
    <mergeCell ref="M19:O19"/>
    <mergeCell ref="J19:L19"/>
    <mergeCell ref="G19:I19"/>
    <mergeCell ref="D19:F19"/>
    <mergeCell ref="P51:R51"/>
    <mergeCell ref="M51:O51"/>
    <mergeCell ref="J51:L51"/>
    <mergeCell ref="G51:I51"/>
    <mergeCell ref="D51:F51"/>
    <mergeCell ref="G50:I50"/>
    <mergeCell ref="D50:F50"/>
    <mergeCell ref="P50:R50"/>
    <mergeCell ref="M50:O50"/>
    <mergeCell ref="J50:L50"/>
    <mergeCell ref="B47:C47"/>
    <mergeCell ref="D12:F12"/>
    <mergeCell ref="G12:I12"/>
    <mergeCell ref="J12:L12"/>
    <mergeCell ref="M12:O12"/>
    <mergeCell ref="B23:C23"/>
    <mergeCell ref="B38:C38"/>
    <mergeCell ref="B39:C39"/>
    <mergeCell ref="B42:C42"/>
    <mergeCell ref="B43:C43"/>
    <mergeCell ref="B44:C44"/>
    <mergeCell ref="B31:C31"/>
    <mergeCell ref="B32:C32"/>
    <mergeCell ref="G15:I15"/>
    <mergeCell ref="M16:O16"/>
    <mergeCell ref="J16:L16"/>
    <mergeCell ref="B50:C50"/>
    <mergeCell ref="B48:C48"/>
    <mergeCell ref="B51:C51"/>
    <mergeCell ref="D49:R49"/>
    <mergeCell ref="B9:R11"/>
    <mergeCell ref="B21:C21"/>
    <mergeCell ref="B28:C28"/>
    <mergeCell ref="B33:C33"/>
    <mergeCell ref="B40:C40"/>
    <mergeCell ref="B25:C25"/>
    <mergeCell ref="B26:C26"/>
    <mergeCell ref="B27:C27"/>
    <mergeCell ref="B30:C30"/>
    <mergeCell ref="B45:C45"/>
    <mergeCell ref="B46:C46"/>
    <mergeCell ref="J20:L20"/>
    <mergeCell ref="A10:A14"/>
    <mergeCell ref="B15:C15"/>
    <mergeCell ref="B16:C16"/>
    <mergeCell ref="B18:C18"/>
    <mergeCell ref="B19:C19"/>
    <mergeCell ref="B37:C37"/>
    <mergeCell ref="B24:C24"/>
    <mergeCell ref="C2:E2"/>
    <mergeCell ref="C4:E4"/>
    <mergeCell ref="C5:E5"/>
    <mergeCell ref="B13:C13"/>
    <mergeCell ref="B7:R7"/>
    <mergeCell ref="B8:R8"/>
    <mergeCell ref="P12:R12"/>
    <mergeCell ref="P16:R16"/>
    <mergeCell ref="G16:I16"/>
    <mergeCell ref="D16:F16"/>
    <mergeCell ref="P15:R15"/>
    <mergeCell ref="M15:O15"/>
    <mergeCell ref="J15:L15"/>
    <mergeCell ref="D15:F15"/>
    <mergeCell ref="G2:H2"/>
    <mergeCell ref="I2:J2"/>
    <mergeCell ref="I4:J4"/>
    <mergeCell ref="B35:C35"/>
    <mergeCell ref="B36:C36"/>
    <mergeCell ref="J17:L17"/>
    <mergeCell ref="J14:L14"/>
    <mergeCell ref="D21:F21"/>
    <mergeCell ref="I5:J5"/>
    <mergeCell ref="G4:H4"/>
    <mergeCell ref="G5:H5"/>
    <mergeCell ref="C3:E3"/>
    <mergeCell ref="G3:H3"/>
    <mergeCell ref="I3:J3"/>
    <mergeCell ref="P13:R13"/>
    <mergeCell ref="M13:O13"/>
    <mergeCell ref="J13:L13"/>
    <mergeCell ref="G13:I13"/>
    <mergeCell ref="D13:F13"/>
  </mergeCells>
  <pageMargins left="0.25" right="0.25" top="0.75" bottom="0.75" header="0.3" footer="0.3"/>
  <pageSetup scale="2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13"/>
  <sheetViews>
    <sheetView workbookViewId="0">
      <selection sqref="A1:O1048576"/>
    </sheetView>
  </sheetViews>
  <sheetFormatPr defaultRowHeight="14.5" x14ac:dyDescent="0.35"/>
  <cols>
    <col min="1" max="1" width="80.7265625" bestFit="1" customWidth="1"/>
    <col min="2" max="3" width="14.7265625" bestFit="1" customWidth="1"/>
    <col min="4" max="4" width="27.26953125" bestFit="1" customWidth="1"/>
    <col min="5" max="5" width="14.6328125" bestFit="1" customWidth="1"/>
    <col min="6" max="6" width="33.81640625" bestFit="1" customWidth="1"/>
    <col min="7" max="7" width="10.7265625" bestFit="1" customWidth="1"/>
    <col min="8" max="8" width="13.7265625" bestFit="1" customWidth="1"/>
    <col min="9" max="11" width="11.81640625" bestFit="1" customWidth="1"/>
    <col min="12" max="12" width="8.81640625" bestFit="1" customWidth="1"/>
    <col min="13" max="13" width="8.36328125" bestFit="1" customWidth="1"/>
    <col min="14" max="14" width="11.81640625" bestFit="1" customWidth="1"/>
    <col min="15" max="15" width="13.36328125" bestFit="1" customWidth="1"/>
    <col min="16" max="16" width="15" bestFit="1" customWidth="1"/>
  </cols>
  <sheetData>
    <row r="1" spans="1:16" x14ac:dyDescent="0.35">
      <c r="A1" t="s">
        <v>94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48</v>
      </c>
      <c r="I1" t="s">
        <v>101</v>
      </c>
      <c r="J1" t="s">
        <v>102</v>
      </c>
      <c r="K1" t="s">
        <v>103</v>
      </c>
      <c r="L1" t="s">
        <v>104</v>
      </c>
      <c r="M1" t="s">
        <v>105</v>
      </c>
      <c r="N1" t="s">
        <v>106</v>
      </c>
      <c r="O1" t="s">
        <v>107</v>
      </c>
    </row>
    <row r="2" spans="1:16" x14ac:dyDescent="0.35">
      <c r="A2" t="s">
        <v>108</v>
      </c>
      <c r="B2" t="s">
        <v>52</v>
      </c>
      <c r="C2" t="s">
        <v>60</v>
      </c>
      <c r="D2">
        <v>100405</v>
      </c>
      <c r="F2">
        <v>21778</v>
      </c>
      <c r="G2">
        <v>21778</v>
      </c>
      <c r="H2">
        <v>9.8308333333333309</v>
      </c>
      <c r="I2">
        <v>2215.27506993303</v>
      </c>
      <c r="J2">
        <v>2215.27506993303</v>
      </c>
      <c r="K2" t="s">
        <v>109</v>
      </c>
      <c r="L2">
        <v>959.76</v>
      </c>
      <c r="M2">
        <v>22.691089439026399</v>
      </c>
      <c r="N2">
        <v>230.815523665607</v>
      </c>
      <c r="O2">
        <v>12.860256105693001</v>
      </c>
      <c r="P2">
        <v>14.561890472618099</v>
      </c>
    </row>
    <row r="3" spans="1:16" x14ac:dyDescent="0.35">
      <c r="A3" t="s">
        <v>108</v>
      </c>
      <c r="B3" t="s">
        <v>52</v>
      </c>
      <c r="C3" t="s">
        <v>61</v>
      </c>
      <c r="D3">
        <v>100400</v>
      </c>
      <c r="F3">
        <v>21778</v>
      </c>
      <c r="G3">
        <v>21778</v>
      </c>
      <c r="H3">
        <v>18.5</v>
      </c>
      <c r="I3">
        <v>1177.1891891891801</v>
      </c>
      <c r="J3">
        <v>1177.1891891891801</v>
      </c>
      <c r="K3" t="s">
        <v>109</v>
      </c>
      <c r="L3">
        <v>831.34</v>
      </c>
      <c r="M3">
        <v>26.196261457406099</v>
      </c>
      <c r="N3">
        <v>141.601413283276</v>
      </c>
      <c r="O3">
        <v>7.6962614574061101</v>
      </c>
      <c r="P3">
        <v>10.047104674381099</v>
      </c>
    </row>
    <row r="4" spans="1:16" x14ac:dyDescent="0.35">
      <c r="A4" t="s">
        <v>108</v>
      </c>
      <c r="B4" t="s">
        <v>52</v>
      </c>
      <c r="C4" t="s">
        <v>7</v>
      </c>
      <c r="D4">
        <v>100020</v>
      </c>
      <c r="E4" t="s">
        <v>110</v>
      </c>
      <c r="F4">
        <v>0</v>
      </c>
      <c r="G4">
        <v>0</v>
      </c>
      <c r="H4">
        <v>0</v>
      </c>
      <c r="I4">
        <v>0</v>
      </c>
      <c r="J4">
        <v>0</v>
      </c>
      <c r="K4" t="s">
        <v>109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35">
      <c r="A5" t="s">
        <v>108</v>
      </c>
      <c r="B5" t="s">
        <v>52</v>
      </c>
      <c r="C5" t="s">
        <v>7</v>
      </c>
      <c r="D5">
        <v>100020</v>
      </c>
      <c r="E5" t="s">
        <v>111</v>
      </c>
      <c r="F5">
        <v>6315</v>
      </c>
      <c r="G5">
        <v>6315</v>
      </c>
      <c r="H5">
        <v>6.0630555555555503</v>
      </c>
      <c r="I5">
        <v>1041.5540385760701</v>
      </c>
      <c r="J5">
        <v>1041.5540385760701</v>
      </c>
      <c r="K5" t="s">
        <v>109</v>
      </c>
      <c r="L5">
        <v>0</v>
      </c>
      <c r="M5">
        <v>0</v>
      </c>
      <c r="N5">
        <v>0</v>
      </c>
      <c r="O5">
        <v>-6.0630555555555503</v>
      </c>
      <c r="P5">
        <v>-4.7649999999999997</v>
      </c>
    </row>
    <row r="6" spans="1:16" x14ac:dyDescent="0.35">
      <c r="A6" t="s">
        <v>108</v>
      </c>
      <c r="B6" t="s">
        <v>52</v>
      </c>
      <c r="C6" t="s">
        <v>7</v>
      </c>
      <c r="D6">
        <v>100020</v>
      </c>
      <c r="E6" t="s">
        <v>112</v>
      </c>
      <c r="F6">
        <v>0</v>
      </c>
      <c r="G6">
        <v>0</v>
      </c>
      <c r="H6">
        <v>0</v>
      </c>
      <c r="I6">
        <v>0</v>
      </c>
      <c r="J6">
        <v>0</v>
      </c>
      <c r="K6" t="s">
        <v>109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35">
      <c r="A7" t="s">
        <v>108</v>
      </c>
      <c r="B7" t="s">
        <v>52</v>
      </c>
      <c r="C7" t="s">
        <v>7</v>
      </c>
      <c r="D7">
        <v>100020</v>
      </c>
      <c r="E7" t="s">
        <v>113</v>
      </c>
      <c r="F7">
        <v>0</v>
      </c>
      <c r="G7">
        <v>0</v>
      </c>
      <c r="H7">
        <v>0</v>
      </c>
      <c r="I7">
        <v>0</v>
      </c>
      <c r="J7">
        <v>0</v>
      </c>
      <c r="K7" t="s">
        <v>109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35">
      <c r="A8" t="s">
        <v>108</v>
      </c>
      <c r="B8" t="s">
        <v>52</v>
      </c>
      <c r="C8" t="s">
        <v>7</v>
      </c>
      <c r="D8">
        <v>100020</v>
      </c>
      <c r="E8" t="s">
        <v>114</v>
      </c>
      <c r="F8">
        <v>3046</v>
      </c>
      <c r="G8">
        <v>3046</v>
      </c>
      <c r="H8">
        <v>3.5627777777777698</v>
      </c>
      <c r="I8">
        <v>854.95088102292198</v>
      </c>
      <c r="J8">
        <v>854.95088102292198</v>
      </c>
      <c r="K8" t="s">
        <v>109</v>
      </c>
      <c r="L8">
        <v>0</v>
      </c>
      <c r="M8">
        <v>0</v>
      </c>
      <c r="N8">
        <v>0</v>
      </c>
      <c r="O8">
        <v>-3.5627777777777698</v>
      </c>
      <c r="P8">
        <v>-3.2983333333333298</v>
      </c>
    </row>
    <row r="9" spans="1:16" x14ac:dyDescent="0.35">
      <c r="A9" t="s">
        <v>108</v>
      </c>
      <c r="B9" t="s">
        <v>52</v>
      </c>
      <c r="C9" t="s">
        <v>7</v>
      </c>
      <c r="D9">
        <v>100020</v>
      </c>
      <c r="E9" t="s">
        <v>115</v>
      </c>
      <c r="F9">
        <v>1131</v>
      </c>
      <c r="G9">
        <v>1131</v>
      </c>
      <c r="H9">
        <v>1.7775000000000001</v>
      </c>
      <c r="I9">
        <v>636.28691983122303</v>
      </c>
      <c r="J9">
        <v>636.28691983122303</v>
      </c>
      <c r="K9" t="s">
        <v>109</v>
      </c>
      <c r="L9">
        <v>0</v>
      </c>
      <c r="M9">
        <v>0</v>
      </c>
      <c r="N9">
        <v>0</v>
      </c>
      <c r="O9">
        <v>-1.7775000000000001</v>
      </c>
      <c r="P9">
        <v>-1.4494444444444401</v>
      </c>
    </row>
    <row r="10" spans="1:16" x14ac:dyDescent="0.35">
      <c r="A10" t="s">
        <v>108</v>
      </c>
      <c r="B10" t="s">
        <v>52</v>
      </c>
      <c r="C10" t="s">
        <v>7</v>
      </c>
      <c r="D10">
        <v>100020</v>
      </c>
      <c r="E10" t="s">
        <v>116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109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35">
      <c r="A11" t="s">
        <v>108</v>
      </c>
      <c r="B11" t="s">
        <v>52</v>
      </c>
      <c r="C11" t="s">
        <v>7</v>
      </c>
      <c r="D11">
        <v>100020</v>
      </c>
      <c r="E11" t="s">
        <v>117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109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35">
      <c r="A12" t="s">
        <v>108</v>
      </c>
      <c r="B12" t="s">
        <v>52</v>
      </c>
      <c r="C12" t="s">
        <v>7</v>
      </c>
      <c r="D12">
        <v>100020</v>
      </c>
      <c r="E12" t="s">
        <v>118</v>
      </c>
      <c r="F12">
        <v>11255</v>
      </c>
      <c r="G12">
        <v>11255</v>
      </c>
      <c r="H12">
        <v>8.4600000000000009</v>
      </c>
      <c r="I12">
        <v>1330.3782505910101</v>
      </c>
      <c r="J12">
        <v>1330.3782505910101</v>
      </c>
      <c r="K12" t="s">
        <v>109</v>
      </c>
      <c r="L12">
        <v>0</v>
      </c>
      <c r="M12">
        <v>0</v>
      </c>
      <c r="N12">
        <v>0</v>
      </c>
      <c r="O12">
        <v>-8.4600000000000009</v>
      </c>
      <c r="P12">
        <v>-6.8372222222222199</v>
      </c>
    </row>
    <row r="13" spans="1:16" x14ac:dyDescent="0.35">
      <c r="A13" t="s">
        <v>108</v>
      </c>
      <c r="B13" t="s">
        <v>52</v>
      </c>
      <c r="C13" t="s">
        <v>7</v>
      </c>
      <c r="D13">
        <v>100020</v>
      </c>
      <c r="E13" t="s">
        <v>119</v>
      </c>
      <c r="F13">
        <v>1</v>
      </c>
      <c r="G13">
        <v>1</v>
      </c>
      <c r="H13">
        <v>1.6666666666666601E-3</v>
      </c>
      <c r="I13">
        <v>600</v>
      </c>
      <c r="J13">
        <v>600</v>
      </c>
      <c r="K13" t="s">
        <v>109</v>
      </c>
      <c r="L13">
        <v>0</v>
      </c>
      <c r="M13">
        <v>0</v>
      </c>
      <c r="N13">
        <v>0</v>
      </c>
      <c r="O13">
        <v>-1.6666666666666601E-3</v>
      </c>
      <c r="P13">
        <v>-1.6666666666666601E-3</v>
      </c>
    </row>
    <row r="14" spans="1:16" x14ac:dyDescent="0.35">
      <c r="A14" t="s">
        <v>108</v>
      </c>
      <c r="B14" t="s">
        <v>52</v>
      </c>
      <c r="C14" t="s">
        <v>7</v>
      </c>
      <c r="D14">
        <v>100020</v>
      </c>
      <c r="E14" t="s">
        <v>120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109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35">
      <c r="A15" t="s">
        <v>108</v>
      </c>
      <c r="B15" t="s">
        <v>52</v>
      </c>
      <c r="C15" t="s">
        <v>7</v>
      </c>
      <c r="D15">
        <v>100020</v>
      </c>
      <c r="E15" t="s">
        <v>121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109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35">
      <c r="A16" t="s">
        <v>108</v>
      </c>
      <c r="B16" t="s">
        <v>52</v>
      </c>
      <c r="C16" t="s">
        <v>7</v>
      </c>
      <c r="D16">
        <v>100020</v>
      </c>
      <c r="E16" t="s">
        <v>122</v>
      </c>
      <c r="F16">
        <v>7</v>
      </c>
      <c r="G16">
        <v>7</v>
      </c>
      <c r="H16">
        <v>1.4222222222222201</v>
      </c>
      <c r="I16">
        <v>4.9218749999999902</v>
      </c>
      <c r="J16">
        <v>4.9218749999999902</v>
      </c>
      <c r="K16" t="s">
        <v>109</v>
      </c>
      <c r="L16">
        <v>0</v>
      </c>
      <c r="M16">
        <v>0</v>
      </c>
      <c r="N16">
        <v>0</v>
      </c>
      <c r="O16">
        <v>-1.4222222222222201</v>
      </c>
      <c r="P16">
        <v>-1.1722222222222201</v>
      </c>
    </row>
    <row r="17" spans="1:16" x14ac:dyDescent="0.35">
      <c r="A17" t="s">
        <v>108</v>
      </c>
      <c r="B17" t="s">
        <v>52</v>
      </c>
      <c r="C17" t="s">
        <v>7</v>
      </c>
      <c r="D17">
        <v>100020</v>
      </c>
      <c r="E17" t="s">
        <v>123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109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 x14ac:dyDescent="0.35">
      <c r="A18" t="s">
        <v>108</v>
      </c>
      <c r="B18" t="s">
        <v>52</v>
      </c>
      <c r="C18" t="s">
        <v>7</v>
      </c>
      <c r="D18">
        <v>100020</v>
      </c>
      <c r="E18" t="s">
        <v>124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109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35">
      <c r="A19" t="s">
        <v>108</v>
      </c>
      <c r="B19" t="s">
        <v>52</v>
      </c>
      <c r="C19" t="s">
        <v>7</v>
      </c>
      <c r="D19">
        <v>100020</v>
      </c>
      <c r="E19" t="s">
        <v>125</v>
      </c>
      <c r="F19">
        <v>3</v>
      </c>
      <c r="G19">
        <v>3</v>
      </c>
      <c r="H19">
        <v>0.153611111111111</v>
      </c>
      <c r="I19">
        <v>19.529837251356199</v>
      </c>
      <c r="J19">
        <v>19.529837251356199</v>
      </c>
      <c r="K19" t="s">
        <v>109</v>
      </c>
      <c r="L19">
        <v>0</v>
      </c>
      <c r="M19">
        <v>0</v>
      </c>
      <c r="N19">
        <v>0</v>
      </c>
      <c r="O19">
        <v>-0.153611111111111</v>
      </c>
      <c r="P19">
        <v>-0.153611111111111</v>
      </c>
    </row>
    <row r="20" spans="1:16" x14ac:dyDescent="0.35">
      <c r="A20" t="s">
        <v>108</v>
      </c>
      <c r="B20" t="s">
        <v>52</v>
      </c>
      <c r="C20" t="s">
        <v>7</v>
      </c>
      <c r="D20">
        <v>100020</v>
      </c>
      <c r="E20" t="s">
        <v>126</v>
      </c>
      <c r="F20">
        <v>2</v>
      </c>
      <c r="G20">
        <v>2</v>
      </c>
      <c r="H20">
        <v>5.1944444444444397E-2</v>
      </c>
      <c r="I20">
        <v>38.502673796791399</v>
      </c>
      <c r="J20">
        <v>38.502673796791399</v>
      </c>
      <c r="K20" t="s">
        <v>109</v>
      </c>
      <c r="L20">
        <v>0</v>
      </c>
      <c r="M20">
        <v>0</v>
      </c>
      <c r="N20">
        <v>0</v>
      </c>
      <c r="O20">
        <v>-5.1944444444444397E-2</v>
      </c>
      <c r="P20">
        <v>-5.1944444444444397E-2</v>
      </c>
    </row>
    <row r="21" spans="1:16" x14ac:dyDescent="0.35">
      <c r="A21" t="s">
        <v>108</v>
      </c>
      <c r="B21" t="s">
        <v>52</v>
      </c>
      <c r="C21" t="s">
        <v>7</v>
      </c>
      <c r="D21">
        <v>100020</v>
      </c>
      <c r="E21" t="s">
        <v>127</v>
      </c>
      <c r="F21">
        <v>0</v>
      </c>
      <c r="G21">
        <v>0</v>
      </c>
      <c r="H21">
        <v>0</v>
      </c>
      <c r="I21">
        <v>0</v>
      </c>
      <c r="J21">
        <v>0</v>
      </c>
      <c r="K21" t="s">
        <v>109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35">
      <c r="A22" t="s">
        <v>108</v>
      </c>
      <c r="B22" t="s">
        <v>52</v>
      </c>
      <c r="C22" t="s">
        <v>7</v>
      </c>
      <c r="D22">
        <v>100020</v>
      </c>
      <c r="E22" t="s">
        <v>128</v>
      </c>
      <c r="F22">
        <v>0</v>
      </c>
      <c r="G22">
        <v>0</v>
      </c>
      <c r="H22">
        <v>0</v>
      </c>
      <c r="I22">
        <v>0</v>
      </c>
      <c r="J22">
        <v>0</v>
      </c>
      <c r="K22" t="s">
        <v>109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35">
      <c r="A23" t="s">
        <v>108</v>
      </c>
      <c r="B23" t="s">
        <v>52</v>
      </c>
      <c r="C23" t="s">
        <v>7</v>
      </c>
      <c r="D23">
        <v>100020</v>
      </c>
      <c r="E23" t="s">
        <v>129</v>
      </c>
      <c r="F23">
        <v>15</v>
      </c>
      <c r="G23">
        <v>15</v>
      </c>
      <c r="H23">
        <v>0.61111111111111105</v>
      </c>
      <c r="I23">
        <v>24.545454545454501</v>
      </c>
      <c r="J23">
        <v>24.545454545454501</v>
      </c>
      <c r="K23" t="s">
        <v>109</v>
      </c>
      <c r="L23">
        <v>0</v>
      </c>
      <c r="M23">
        <v>0</v>
      </c>
      <c r="N23">
        <v>0</v>
      </c>
      <c r="O23">
        <v>-0.61111111111111105</v>
      </c>
      <c r="P23">
        <v>-0.61111111111111105</v>
      </c>
    </row>
    <row r="24" spans="1:16" x14ac:dyDescent="0.35">
      <c r="A24" t="s">
        <v>108</v>
      </c>
      <c r="B24" t="s">
        <v>52</v>
      </c>
      <c r="C24" t="s">
        <v>7</v>
      </c>
      <c r="D24">
        <v>100020</v>
      </c>
      <c r="E24" t="s">
        <v>130</v>
      </c>
      <c r="F24">
        <v>3</v>
      </c>
      <c r="G24">
        <v>3</v>
      </c>
      <c r="H24">
        <v>2.8333333333333301E-2</v>
      </c>
      <c r="I24">
        <v>105.88235294117599</v>
      </c>
      <c r="J24">
        <v>105.88235294117599</v>
      </c>
      <c r="K24" t="s">
        <v>109</v>
      </c>
      <c r="L24">
        <v>0</v>
      </c>
      <c r="M24">
        <v>0</v>
      </c>
      <c r="N24">
        <v>0</v>
      </c>
      <c r="O24">
        <v>-2.8333333333333301E-2</v>
      </c>
      <c r="P24">
        <v>-2.8333333333333301E-2</v>
      </c>
    </row>
    <row r="25" spans="1:16" x14ac:dyDescent="0.35">
      <c r="A25" t="s">
        <v>108</v>
      </c>
      <c r="B25" t="s">
        <v>52</v>
      </c>
      <c r="C25" t="s">
        <v>7</v>
      </c>
      <c r="D25">
        <v>100020</v>
      </c>
      <c r="E25" t="s">
        <v>131</v>
      </c>
      <c r="F25">
        <v>0</v>
      </c>
      <c r="G25">
        <v>0</v>
      </c>
      <c r="H25">
        <v>0</v>
      </c>
      <c r="I25">
        <v>0</v>
      </c>
      <c r="J25">
        <v>0</v>
      </c>
      <c r="K25" t="s">
        <v>109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35">
      <c r="A26" t="s">
        <v>108</v>
      </c>
      <c r="B26" t="s">
        <v>52</v>
      </c>
      <c r="C26" t="s">
        <v>20</v>
      </c>
      <c r="D26">
        <v>100404</v>
      </c>
      <c r="F26">
        <v>21778</v>
      </c>
      <c r="G26">
        <v>21778</v>
      </c>
      <c r="H26">
        <v>12.25</v>
      </c>
      <c r="I26">
        <v>1777.7959183673399</v>
      </c>
      <c r="J26">
        <v>1777.7959183673399</v>
      </c>
      <c r="K26" t="s">
        <v>109</v>
      </c>
      <c r="L26">
        <v>959.76</v>
      </c>
      <c r="M26">
        <v>22.691089439026399</v>
      </c>
      <c r="N26">
        <v>185.23338317572501</v>
      </c>
      <c r="O26">
        <v>10.441089439026401</v>
      </c>
      <c r="P26">
        <v>12.561890472618099</v>
      </c>
    </row>
    <row r="27" spans="1:16" x14ac:dyDescent="0.35">
      <c r="A27" t="s">
        <v>108</v>
      </c>
      <c r="B27" t="s">
        <v>52</v>
      </c>
      <c r="C27" t="s">
        <v>9</v>
      </c>
      <c r="D27">
        <v>100460</v>
      </c>
      <c r="F27">
        <v>21778</v>
      </c>
      <c r="G27">
        <v>21778</v>
      </c>
      <c r="H27">
        <v>15.75</v>
      </c>
      <c r="I27">
        <v>1382.7301587301499</v>
      </c>
      <c r="J27">
        <v>1382.7301587301499</v>
      </c>
      <c r="K27" t="s">
        <v>109</v>
      </c>
      <c r="L27">
        <v>0</v>
      </c>
      <c r="M27">
        <v>0</v>
      </c>
      <c r="N27">
        <v>0</v>
      </c>
      <c r="O27">
        <v>-15.75</v>
      </c>
      <c r="P27">
        <v>-14</v>
      </c>
    </row>
    <row r="28" spans="1:16" x14ac:dyDescent="0.35">
      <c r="A28" t="s">
        <v>108</v>
      </c>
      <c r="B28" t="s">
        <v>53</v>
      </c>
      <c r="C28" t="s">
        <v>1</v>
      </c>
      <c r="D28">
        <v>100440</v>
      </c>
      <c r="F28">
        <v>19414</v>
      </c>
      <c r="G28">
        <v>19414</v>
      </c>
      <c r="H28">
        <v>61.452777777777698</v>
      </c>
      <c r="I28">
        <v>315.91737106178999</v>
      </c>
      <c r="J28">
        <v>315.91737106178999</v>
      </c>
      <c r="K28" t="s">
        <v>109</v>
      </c>
      <c r="L28">
        <v>225.60999999999899</v>
      </c>
      <c r="M28">
        <v>86.051150214972694</v>
      </c>
      <c r="N28">
        <v>140.028088764589</v>
      </c>
      <c r="O28">
        <v>24.5983724371949</v>
      </c>
      <c r="P28">
        <v>32.049761326083797</v>
      </c>
    </row>
    <row r="29" spans="1:16" x14ac:dyDescent="0.35">
      <c r="A29" t="s">
        <v>108</v>
      </c>
      <c r="B29" t="s">
        <v>53</v>
      </c>
      <c r="C29" t="s">
        <v>27</v>
      </c>
      <c r="D29">
        <v>100021</v>
      </c>
      <c r="E29" t="s">
        <v>110</v>
      </c>
      <c r="F29">
        <v>0</v>
      </c>
      <c r="G29">
        <v>0</v>
      </c>
      <c r="H29">
        <v>0</v>
      </c>
      <c r="I29">
        <v>0</v>
      </c>
      <c r="J29">
        <v>0</v>
      </c>
      <c r="K29" t="s">
        <v>109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 x14ac:dyDescent="0.35">
      <c r="A30" t="s">
        <v>108</v>
      </c>
      <c r="B30" t="s">
        <v>53</v>
      </c>
      <c r="C30" t="s">
        <v>27</v>
      </c>
      <c r="D30">
        <v>100021</v>
      </c>
      <c r="E30" t="s">
        <v>111</v>
      </c>
      <c r="F30">
        <v>5590</v>
      </c>
      <c r="G30">
        <v>5590</v>
      </c>
      <c r="H30">
        <v>20.385555555555499</v>
      </c>
      <c r="I30">
        <v>274.21376791846001</v>
      </c>
      <c r="J30">
        <v>274.21376791846001</v>
      </c>
      <c r="K30" t="s">
        <v>109</v>
      </c>
      <c r="L30">
        <v>325.04999999999899</v>
      </c>
      <c r="M30">
        <v>17.197354253191801</v>
      </c>
      <c r="N30">
        <v>84.360488515139394</v>
      </c>
      <c r="O30">
        <v>-3.1882013023637299</v>
      </c>
      <c r="P30">
        <v>-0.13820130236373901</v>
      </c>
    </row>
    <row r="31" spans="1:16" x14ac:dyDescent="0.35">
      <c r="A31" t="s">
        <v>108</v>
      </c>
      <c r="B31" t="s">
        <v>53</v>
      </c>
      <c r="C31" t="s">
        <v>27</v>
      </c>
      <c r="D31">
        <v>100021</v>
      </c>
      <c r="E31" t="s">
        <v>112</v>
      </c>
      <c r="F31">
        <v>0</v>
      </c>
      <c r="G31">
        <v>0</v>
      </c>
      <c r="H31">
        <v>0</v>
      </c>
      <c r="I31">
        <v>0</v>
      </c>
      <c r="J31">
        <v>0</v>
      </c>
      <c r="K31" t="s">
        <v>109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35">
      <c r="A32" t="s">
        <v>108</v>
      </c>
      <c r="B32" t="s">
        <v>53</v>
      </c>
      <c r="C32" t="s">
        <v>27</v>
      </c>
      <c r="D32">
        <v>100021</v>
      </c>
      <c r="E32" t="s">
        <v>113</v>
      </c>
      <c r="F32">
        <v>0</v>
      </c>
      <c r="G32">
        <v>0</v>
      </c>
      <c r="H32">
        <v>0</v>
      </c>
      <c r="I32">
        <v>0</v>
      </c>
      <c r="J32">
        <v>0</v>
      </c>
      <c r="K32" t="s">
        <v>109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35">
      <c r="A33" t="s">
        <v>108</v>
      </c>
      <c r="B33" t="s">
        <v>53</v>
      </c>
      <c r="C33" t="s">
        <v>27</v>
      </c>
      <c r="D33">
        <v>100021</v>
      </c>
      <c r="E33" t="s">
        <v>114</v>
      </c>
      <c r="F33">
        <v>2808</v>
      </c>
      <c r="G33">
        <v>2808</v>
      </c>
      <c r="H33">
        <v>13.209444444444401</v>
      </c>
      <c r="I33">
        <v>212.575177692728</v>
      </c>
      <c r="J33">
        <v>212.575177692728</v>
      </c>
      <c r="K33" t="s">
        <v>109</v>
      </c>
      <c r="L33">
        <v>254.20999999999901</v>
      </c>
      <c r="M33">
        <v>11.0459856024546</v>
      </c>
      <c r="N33">
        <v>83.621878640780494</v>
      </c>
      <c r="O33">
        <v>-2.16345884198978</v>
      </c>
      <c r="P33">
        <v>-0.28012550865644797</v>
      </c>
    </row>
    <row r="34" spans="1:16" x14ac:dyDescent="0.35">
      <c r="A34" t="s">
        <v>108</v>
      </c>
      <c r="B34" t="s">
        <v>53</v>
      </c>
      <c r="C34" t="s">
        <v>27</v>
      </c>
      <c r="D34">
        <v>100021</v>
      </c>
      <c r="E34" t="s">
        <v>115</v>
      </c>
      <c r="F34">
        <v>1003</v>
      </c>
      <c r="G34">
        <v>1003</v>
      </c>
      <c r="H34">
        <v>4.0191666666666599</v>
      </c>
      <c r="I34">
        <v>249.55421936554001</v>
      </c>
      <c r="J34">
        <v>249.55421936554001</v>
      </c>
      <c r="K34" t="s">
        <v>109</v>
      </c>
      <c r="L34">
        <v>183.629999999999</v>
      </c>
      <c r="M34">
        <v>5.4620704677884797</v>
      </c>
      <c r="N34">
        <v>135.90057145648299</v>
      </c>
      <c r="O34">
        <v>1.44290380112182</v>
      </c>
      <c r="P34">
        <v>1.44290380112182</v>
      </c>
    </row>
    <row r="35" spans="1:16" x14ac:dyDescent="0.35">
      <c r="A35" t="s">
        <v>108</v>
      </c>
      <c r="B35" t="s">
        <v>53</v>
      </c>
      <c r="C35" t="s">
        <v>27</v>
      </c>
      <c r="D35">
        <v>100021</v>
      </c>
      <c r="E35" t="s">
        <v>116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109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1:16" x14ac:dyDescent="0.35">
      <c r="A36" t="s">
        <v>108</v>
      </c>
      <c r="B36" t="s">
        <v>53</v>
      </c>
      <c r="C36" t="s">
        <v>27</v>
      </c>
      <c r="D36">
        <v>100021</v>
      </c>
      <c r="E36" t="s">
        <v>117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109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1:16" x14ac:dyDescent="0.35">
      <c r="A37" t="s">
        <v>108</v>
      </c>
      <c r="B37" t="s">
        <v>53</v>
      </c>
      <c r="C37" t="s">
        <v>27</v>
      </c>
      <c r="D37">
        <v>100021</v>
      </c>
      <c r="E37" t="s">
        <v>118</v>
      </c>
      <c r="F37">
        <v>9797</v>
      </c>
      <c r="G37">
        <v>9797</v>
      </c>
      <c r="H37">
        <v>29.373333333333299</v>
      </c>
      <c r="I37">
        <v>333.53381752156099</v>
      </c>
      <c r="J37">
        <v>333.53381752156099</v>
      </c>
      <c r="K37" t="s">
        <v>109</v>
      </c>
      <c r="L37">
        <v>471.68</v>
      </c>
      <c r="M37">
        <v>20.770437584803201</v>
      </c>
      <c r="N37">
        <v>70.711884650941599</v>
      </c>
      <c r="O37">
        <v>-8.6028957485300808</v>
      </c>
      <c r="P37">
        <v>-3.5362290818634099</v>
      </c>
    </row>
    <row r="38" spans="1:16" x14ac:dyDescent="0.35">
      <c r="A38" t="s">
        <v>108</v>
      </c>
      <c r="B38" t="s">
        <v>53</v>
      </c>
      <c r="C38" t="s">
        <v>27</v>
      </c>
      <c r="D38">
        <v>100021</v>
      </c>
      <c r="E38" t="s">
        <v>119</v>
      </c>
      <c r="F38">
        <v>1</v>
      </c>
      <c r="G38">
        <v>1</v>
      </c>
      <c r="H38">
        <v>1.3888888888888801E-3</v>
      </c>
      <c r="I38">
        <v>720</v>
      </c>
      <c r="J38">
        <v>720</v>
      </c>
      <c r="K38" t="s">
        <v>109</v>
      </c>
      <c r="L38">
        <v>251.6</v>
      </c>
      <c r="M38">
        <v>3.9745627980922096E-3</v>
      </c>
      <c r="N38">
        <v>286.16852146263898</v>
      </c>
      <c r="O38">
        <v>2.58567390920332E-3</v>
      </c>
      <c r="P38">
        <v>2.58567390920332E-3</v>
      </c>
    </row>
    <row r="39" spans="1:16" x14ac:dyDescent="0.35">
      <c r="A39" t="s">
        <v>108</v>
      </c>
      <c r="B39" t="s">
        <v>53</v>
      </c>
      <c r="C39" t="s">
        <v>27</v>
      </c>
      <c r="D39">
        <v>100021</v>
      </c>
      <c r="E39" t="s">
        <v>121</v>
      </c>
      <c r="F39">
        <v>0</v>
      </c>
      <c r="G39">
        <v>0</v>
      </c>
      <c r="H39">
        <v>0</v>
      </c>
      <c r="I39">
        <v>0</v>
      </c>
      <c r="J39">
        <v>0</v>
      </c>
      <c r="K39" t="s">
        <v>109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x14ac:dyDescent="0.35">
      <c r="A40" t="s">
        <v>108</v>
      </c>
      <c r="B40" t="s">
        <v>53</v>
      </c>
      <c r="C40" t="s">
        <v>27</v>
      </c>
      <c r="D40">
        <v>100021</v>
      </c>
      <c r="E40" t="s">
        <v>122</v>
      </c>
      <c r="F40">
        <v>80</v>
      </c>
      <c r="G40">
        <v>80</v>
      </c>
      <c r="H40">
        <v>0.21472222222222201</v>
      </c>
      <c r="I40">
        <v>372.57438551099602</v>
      </c>
      <c r="J40">
        <v>372.57438551099602</v>
      </c>
      <c r="K40" t="s">
        <v>109</v>
      </c>
      <c r="L40">
        <v>325.05</v>
      </c>
      <c r="M40">
        <v>0.246115982156591</v>
      </c>
      <c r="N40">
        <v>114.620638520534</v>
      </c>
      <c r="O40">
        <v>3.1393759934368999E-2</v>
      </c>
      <c r="P40">
        <v>3.1393759934368999E-2</v>
      </c>
    </row>
    <row r="41" spans="1:16" x14ac:dyDescent="0.35">
      <c r="A41" t="s">
        <v>108</v>
      </c>
      <c r="B41" t="s">
        <v>53</v>
      </c>
      <c r="C41" t="s">
        <v>27</v>
      </c>
      <c r="D41">
        <v>100021</v>
      </c>
      <c r="E41" t="s">
        <v>123</v>
      </c>
      <c r="F41">
        <v>0</v>
      </c>
      <c r="G41">
        <v>0</v>
      </c>
      <c r="H41">
        <v>0</v>
      </c>
      <c r="I41">
        <v>0</v>
      </c>
      <c r="J41">
        <v>0</v>
      </c>
      <c r="K41" t="s">
        <v>109</v>
      </c>
      <c r="L41">
        <v>0</v>
      </c>
      <c r="M41">
        <v>0</v>
      </c>
      <c r="N41">
        <v>0</v>
      </c>
      <c r="O41">
        <v>0</v>
      </c>
      <c r="P41">
        <v>0</v>
      </c>
    </row>
    <row r="42" spans="1:16" x14ac:dyDescent="0.35">
      <c r="A42" t="s">
        <v>108</v>
      </c>
      <c r="B42" t="s">
        <v>53</v>
      </c>
      <c r="C42" t="s">
        <v>27</v>
      </c>
      <c r="D42">
        <v>100021</v>
      </c>
      <c r="E42" t="s">
        <v>124</v>
      </c>
      <c r="F42">
        <v>0</v>
      </c>
      <c r="G42">
        <v>0</v>
      </c>
      <c r="H42">
        <v>0</v>
      </c>
      <c r="I42">
        <v>0</v>
      </c>
      <c r="J42">
        <v>0</v>
      </c>
      <c r="K42" t="s">
        <v>109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 x14ac:dyDescent="0.35">
      <c r="A43" t="s">
        <v>108</v>
      </c>
      <c r="B43" t="s">
        <v>53</v>
      </c>
      <c r="C43" t="s">
        <v>27</v>
      </c>
      <c r="D43">
        <v>100021</v>
      </c>
      <c r="E43" t="s">
        <v>125</v>
      </c>
      <c r="F43">
        <v>30</v>
      </c>
      <c r="G43">
        <v>30</v>
      </c>
      <c r="H43">
        <v>5.5277777777777697E-2</v>
      </c>
      <c r="I43">
        <v>542.713567839196</v>
      </c>
      <c r="J43">
        <v>542.713567839196</v>
      </c>
      <c r="K43" t="s">
        <v>109</v>
      </c>
      <c r="L43">
        <v>254.21</v>
      </c>
      <c r="M43">
        <v>0.118012666692891</v>
      </c>
      <c r="N43">
        <v>213.490251303723</v>
      </c>
      <c r="O43">
        <v>6.2734888915113904E-2</v>
      </c>
      <c r="P43">
        <v>6.2734888915113904E-2</v>
      </c>
    </row>
    <row r="44" spans="1:16" x14ac:dyDescent="0.35">
      <c r="A44" t="s">
        <v>108</v>
      </c>
      <c r="B44" t="s">
        <v>53</v>
      </c>
      <c r="C44" t="s">
        <v>27</v>
      </c>
      <c r="D44">
        <v>100021</v>
      </c>
      <c r="E44" t="s">
        <v>126</v>
      </c>
      <c r="F44">
        <v>11</v>
      </c>
      <c r="G44">
        <v>11</v>
      </c>
      <c r="H44">
        <v>0.26166666666666599</v>
      </c>
      <c r="I44">
        <v>42.038216560509497</v>
      </c>
      <c r="J44">
        <v>42.038216560509497</v>
      </c>
      <c r="K44" t="s">
        <v>109</v>
      </c>
      <c r="L44">
        <v>183.629999999999</v>
      </c>
      <c r="M44">
        <v>5.9903065947829799E-2</v>
      </c>
      <c r="N44">
        <v>22.8928914450305</v>
      </c>
      <c r="O44">
        <v>-0.20176360071883601</v>
      </c>
      <c r="P44">
        <v>-0.20176360071883601</v>
      </c>
    </row>
    <row r="45" spans="1:16" x14ac:dyDescent="0.35">
      <c r="A45" t="s">
        <v>108</v>
      </c>
      <c r="B45" t="s">
        <v>53</v>
      </c>
      <c r="C45" t="s">
        <v>27</v>
      </c>
      <c r="D45">
        <v>100021</v>
      </c>
      <c r="E45" t="s">
        <v>127</v>
      </c>
      <c r="F45">
        <v>0</v>
      </c>
      <c r="G45">
        <v>0</v>
      </c>
      <c r="H45">
        <v>0</v>
      </c>
      <c r="I45">
        <v>0</v>
      </c>
      <c r="J45">
        <v>0</v>
      </c>
      <c r="K45" t="s">
        <v>109</v>
      </c>
      <c r="L45">
        <v>0</v>
      </c>
      <c r="M45">
        <v>0</v>
      </c>
      <c r="N45">
        <v>0</v>
      </c>
      <c r="O45">
        <v>0</v>
      </c>
      <c r="P45">
        <v>0</v>
      </c>
    </row>
    <row r="46" spans="1:16" x14ac:dyDescent="0.35">
      <c r="A46" t="s">
        <v>108</v>
      </c>
      <c r="B46" t="s">
        <v>53</v>
      </c>
      <c r="C46" t="s">
        <v>27</v>
      </c>
      <c r="D46">
        <v>100021</v>
      </c>
      <c r="E46" t="s">
        <v>128</v>
      </c>
      <c r="F46">
        <v>0</v>
      </c>
      <c r="G46">
        <v>0</v>
      </c>
      <c r="H46">
        <v>0</v>
      </c>
      <c r="I46">
        <v>0</v>
      </c>
      <c r="J46">
        <v>0</v>
      </c>
      <c r="K46" t="s">
        <v>109</v>
      </c>
      <c r="L46">
        <v>0</v>
      </c>
      <c r="M46">
        <v>0</v>
      </c>
      <c r="N46">
        <v>0</v>
      </c>
      <c r="O46">
        <v>0</v>
      </c>
      <c r="P46">
        <v>0</v>
      </c>
    </row>
    <row r="47" spans="1:16" x14ac:dyDescent="0.35">
      <c r="A47" t="s">
        <v>108</v>
      </c>
      <c r="B47" t="s">
        <v>53</v>
      </c>
      <c r="C47" t="s">
        <v>27</v>
      </c>
      <c r="D47">
        <v>100021</v>
      </c>
      <c r="E47" t="s">
        <v>129</v>
      </c>
      <c r="F47">
        <v>94</v>
      </c>
      <c r="G47">
        <v>94</v>
      </c>
      <c r="H47">
        <v>0.12</v>
      </c>
      <c r="I47">
        <v>783.33333333333303</v>
      </c>
      <c r="J47">
        <v>783.33333333333303</v>
      </c>
      <c r="K47" t="s">
        <v>109</v>
      </c>
      <c r="L47">
        <v>471.68</v>
      </c>
      <c r="M47">
        <v>0.19928765264586101</v>
      </c>
      <c r="N47">
        <v>166.07304387155099</v>
      </c>
      <c r="O47">
        <v>7.92876526458616E-2</v>
      </c>
      <c r="P47">
        <v>7.92876526458616E-2</v>
      </c>
    </row>
    <row r="48" spans="1:16" x14ac:dyDescent="0.35">
      <c r="A48" t="s">
        <v>108</v>
      </c>
      <c r="B48" t="s">
        <v>53</v>
      </c>
      <c r="C48" t="s">
        <v>27</v>
      </c>
      <c r="D48">
        <v>100021</v>
      </c>
      <c r="E48" t="s">
        <v>130</v>
      </c>
      <c r="F48">
        <v>0</v>
      </c>
      <c r="G48">
        <v>0</v>
      </c>
      <c r="H48">
        <v>0</v>
      </c>
      <c r="I48">
        <v>0</v>
      </c>
      <c r="J48">
        <v>0</v>
      </c>
      <c r="K48" t="s">
        <v>109</v>
      </c>
      <c r="L48">
        <v>0</v>
      </c>
      <c r="M48">
        <v>0</v>
      </c>
      <c r="N48">
        <v>0</v>
      </c>
      <c r="O48">
        <v>0</v>
      </c>
      <c r="P48">
        <v>0</v>
      </c>
    </row>
    <row r="49" spans="1:16" x14ac:dyDescent="0.35">
      <c r="A49" t="s">
        <v>108</v>
      </c>
      <c r="B49" t="s">
        <v>53</v>
      </c>
      <c r="C49" t="s">
        <v>25</v>
      </c>
      <c r="D49">
        <v>100461</v>
      </c>
      <c r="F49">
        <v>19414</v>
      </c>
      <c r="G49">
        <v>19414</v>
      </c>
      <c r="H49">
        <v>9.0833333333333304</v>
      </c>
      <c r="I49">
        <v>2137.3211009174302</v>
      </c>
      <c r="J49">
        <v>2137.3211009174302</v>
      </c>
      <c r="K49" t="s">
        <v>109</v>
      </c>
      <c r="L49">
        <v>0</v>
      </c>
      <c r="M49">
        <v>0</v>
      </c>
      <c r="N49">
        <v>0</v>
      </c>
      <c r="O49">
        <v>-9.0833333333333304</v>
      </c>
      <c r="P49">
        <v>-8.3333333333333304</v>
      </c>
    </row>
    <row r="50" spans="1:16" x14ac:dyDescent="0.35">
      <c r="A50" t="s">
        <v>108</v>
      </c>
      <c r="B50" t="s">
        <v>54</v>
      </c>
      <c r="C50" t="s">
        <v>32</v>
      </c>
      <c r="D50">
        <v>100407</v>
      </c>
      <c r="E50" t="s">
        <v>110</v>
      </c>
      <c r="F50">
        <v>0</v>
      </c>
      <c r="G50">
        <v>0</v>
      </c>
      <c r="H50">
        <v>0</v>
      </c>
      <c r="I50">
        <v>0</v>
      </c>
      <c r="J50">
        <v>0</v>
      </c>
      <c r="K50" t="s">
        <v>109</v>
      </c>
      <c r="L50">
        <v>0</v>
      </c>
      <c r="M50">
        <v>0</v>
      </c>
      <c r="N50">
        <v>0</v>
      </c>
      <c r="O50">
        <v>0</v>
      </c>
      <c r="P50">
        <v>0</v>
      </c>
    </row>
    <row r="51" spans="1:16" x14ac:dyDescent="0.35">
      <c r="A51" t="s">
        <v>108</v>
      </c>
      <c r="B51" t="s">
        <v>54</v>
      </c>
      <c r="C51" t="s">
        <v>32</v>
      </c>
      <c r="D51">
        <v>100407</v>
      </c>
      <c r="E51" t="s">
        <v>121</v>
      </c>
      <c r="F51">
        <v>0</v>
      </c>
      <c r="G51">
        <v>0</v>
      </c>
      <c r="H51">
        <v>0</v>
      </c>
      <c r="I51">
        <v>0</v>
      </c>
      <c r="J51">
        <v>0</v>
      </c>
      <c r="K51" t="s">
        <v>109</v>
      </c>
      <c r="L51">
        <v>0</v>
      </c>
      <c r="M51">
        <v>0</v>
      </c>
      <c r="N51">
        <v>0</v>
      </c>
      <c r="O51">
        <v>0</v>
      </c>
      <c r="P51">
        <v>0</v>
      </c>
    </row>
    <row r="52" spans="1:16" x14ac:dyDescent="0.35">
      <c r="A52" t="s">
        <v>108</v>
      </c>
      <c r="B52" t="s">
        <v>54</v>
      </c>
      <c r="C52" t="s">
        <v>32</v>
      </c>
      <c r="D52">
        <v>100407</v>
      </c>
      <c r="E52" t="s">
        <v>132</v>
      </c>
      <c r="F52">
        <v>0</v>
      </c>
      <c r="G52">
        <v>0</v>
      </c>
      <c r="H52">
        <v>0</v>
      </c>
      <c r="I52">
        <v>0</v>
      </c>
      <c r="J52">
        <v>0</v>
      </c>
      <c r="K52" t="s">
        <v>109</v>
      </c>
      <c r="L52">
        <v>0</v>
      </c>
      <c r="M52">
        <v>0</v>
      </c>
      <c r="N52">
        <v>0</v>
      </c>
      <c r="O52">
        <v>0</v>
      </c>
      <c r="P52">
        <v>0</v>
      </c>
    </row>
    <row r="53" spans="1:16" x14ac:dyDescent="0.35">
      <c r="A53" t="s">
        <v>108</v>
      </c>
      <c r="B53" t="s">
        <v>54</v>
      </c>
      <c r="C53" t="s">
        <v>32</v>
      </c>
      <c r="D53">
        <v>100407</v>
      </c>
      <c r="E53" t="s">
        <v>133</v>
      </c>
      <c r="F53">
        <v>0</v>
      </c>
      <c r="G53">
        <v>0</v>
      </c>
      <c r="H53">
        <v>0</v>
      </c>
      <c r="I53">
        <v>0</v>
      </c>
      <c r="J53">
        <v>0</v>
      </c>
      <c r="K53" t="s">
        <v>109</v>
      </c>
      <c r="L53">
        <v>0</v>
      </c>
      <c r="M53">
        <v>0</v>
      </c>
      <c r="N53">
        <v>0</v>
      </c>
      <c r="O53">
        <v>0</v>
      </c>
      <c r="P53">
        <v>0</v>
      </c>
    </row>
    <row r="54" spans="1:16" x14ac:dyDescent="0.35">
      <c r="A54" t="s">
        <v>108</v>
      </c>
      <c r="B54" t="s">
        <v>54</v>
      </c>
      <c r="C54" t="s">
        <v>32</v>
      </c>
      <c r="D54">
        <v>100407</v>
      </c>
      <c r="E54" t="s">
        <v>134</v>
      </c>
      <c r="F54">
        <v>0</v>
      </c>
      <c r="G54">
        <v>0</v>
      </c>
      <c r="H54">
        <v>0</v>
      </c>
      <c r="I54">
        <v>0</v>
      </c>
      <c r="J54">
        <v>0</v>
      </c>
      <c r="K54" t="s">
        <v>109</v>
      </c>
      <c r="L54">
        <v>0</v>
      </c>
      <c r="M54">
        <v>0</v>
      </c>
      <c r="N54">
        <v>0</v>
      </c>
      <c r="O54">
        <v>0</v>
      </c>
      <c r="P54">
        <v>0</v>
      </c>
    </row>
    <row r="55" spans="1:16" x14ac:dyDescent="0.35">
      <c r="A55" t="s">
        <v>108</v>
      </c>
      <c r="B55" t="s">
        <v>54</v>
      </c>
      <c r="C55" t="s">
        <v>32</v>
      </c>
      <c r="D55">
        <v>100407</v>
      </c>
      <c r="E55" t="s">
        <v>135</v>
      </c>
      <c r="F55">
        <v>0</v>
      </c>
      <c r="G55">
        <v>0</v>
      </c>
      <c r="H55">
        <v>0</v>
      </c>
      <c r="I55">
        <v>0</v>
      </c>
      <c r="J55">
        <v>0</v>
      </c>
      <c r="K55" t="s">
        <v>109</v>
      </c>
      <c r="L55">
        <v>0</v>
      </c>
      <c r="M55">
        <v>0</v>
      </c>
      <c r="N55">
        <v>0</v>
      </c>
      <c r="O55">
        <v>0</v>
      </c>
      <c r="P55">
        <v>0</v>
      </c>
    </row>
    <row r="56" spans="1:16" x14ac:dyDescent="0.35">
      <c r="A56" t="s">
        <v>108</v>
      </c>
      <c r="B56" t="s">
        <v>54</v>
      </c>
      <c r="C56" t="s">
        <v>32</v>
      </c>
      <c r="D56">
        <v>100407</v>
      </c>
      <c r="E56" t="s">
        <v>136</v>
      </c>
      <c r="F56">
        <v>4793</v>
      </c>
      <c r="G56">
        <v>4793</v>
      </c>
      <c r="H56">
        <v>70.679722222222196</v>
      </c>
      <c r="I56">
        <v>67.812943363450898</v>
      </c>
      <c r="J56">
        <v>67.812943363450898</v>
      </c>
      <c r="K56" t="s">
        <v>109</v>
      </c>
      <c r="L56">
        <v>612.67999999999904</v>
      </c>
      <c r="M56">
        <v>7.8230071162760302</v>
      </c>
      <c r="N56">
        <v>11.068248247609001</v>
      </c>
      <c r="O56">
        <v>-62.856715105946101</v>
      </c>
      <c r="P56">
        <v>-38.581428514431998</v>
      </c>
    </row>
    <row r="57" spans="1:16" x14ac:dyDescent="0.35">
      <c r="A57" t="s">
        <v>108</v>
      </c>
      <c r="B57" t="s">
        <v>54</v>
      </c>
      <c r="C57" t="s">
        <v>32</v>
      </c>
      <c r="D57">
        <v>100407</v>
      </c>
      <c r="E57" t="s">
        <v>137</v>
      </c>
      <c r="F57">
        <v>92</v>
      </c>
      <c r="G57">
        <v>92</v>
      </c>
      <c r="H57">
        <v>2.6675</v>
      </c>
      <c r="I57">
        <v>34.489222118088101</v>
      </c>
      <c r="J57">
        <v>34.489222118088101</v>
      </c>
      <c r="K57" t="s">
        <v>109</v>
      </c>
      <c r="L57">
        <v>612.67999999999995</v>
      </c>
      <c r="M57">
        <v>0.15015995299340601</v>
      </c>
      <c r="N57">
        <v>5.6292391000339599</v>
      </c>
      <c r="O57">
        <v>-2.5173400470065901</v>
      </c>
      <c r="P57">
        <v>-2.1021330874192001</v>
      </c>
    </row>
    <row r="58" spans="1:16" x14ac:dyDescent="0.35">
      <c r="A58" t="s">
        <v>108</v>
      </c>
      <c r="B58" t="s">
        <v>54</v>
      </c>
      <c r="C58" t="s">
        <v>32</v>
      </c>
      <c r="D58">
        <v>100407</v>
      </c>
      <c r="E58" t="s">
        <v>138</v>
      </c>
      <c r="F58">
        <v>0</v>
      </c>
      <c r="G58">
        <v>0</v>
      </c>
      <c r="H58">
        <v>0</v>
      </c>
      <c r="I58">
        <v>0</v>
      </c>
      <c r="J58">
        <v>0</v>
      </c>
      <c r="K58" t="s">
        <v>109</v>
      </c>
      <c r="L58">
        <v>0</v>
      </c>
      <c r="M58">
        <v>0</v>
      </c>
      <c r="N58">
        <v>0</v>
      </c>
      <c r="O58">
        <v>0</v>
      </c>
      <c r="P58">
        <v>0</v>
      </c>
    </row>
    <row r="59" spans="1:16" x14ac:dyDescent="0.35">
      <c r="A59" t="s">
        <v>108</v>
      </c>
      <c r="B59" t="s">
        <v>54</v>
      </c>
      <c r="C59" t="s">
        <v>32</v>
      </c>
      <c r="D59">
        <v>100407</v>
      </c>
      <c r="E59" t="s">
        <v>139</v>
      </c>
      <c r="F59">
        <v>0</v>
      </c>
      <c r="G59">
        <v>0</v>
      </c>
      <c r="H59">
        <v>0</v>
      </c>
      <c r="I59">
        <v>0</v>
      </c>
      <c r="J59">
        <v>0</v>
      </c>
      <c r="K59" t="s">
        <v>109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35">
      <c r="A60" t="s">
        <v>108</v>
      </c>
      <c r="B60" t="s">
        <v>54</v>
      </c>
      <c r="C60" t="s">
        <v>32</v>
      </c>
      <c r="D60">
        <v>100407</v>
      </c>
      <c r="E60" t="s">
        <v>140</v>
      </c>
      <c r="F60">
        <v>2530</v>
      </c>
      <c r="G60">
        <v>36877</v>
      </c>
      <c r="H60">
        <v>64.206388888888895</v>
      </c>
      <c r="I60">
        <v>39.404178365773497</v>
      </c>
      <c r="J60">
        <v>574.35094292277904</v>
      </c>
      <c r="K60" t="s">
        <v>109</v>
      </c>
      <c r="L60">
        <v>612.67999999999995</v>
      </c>
      <c r="M60">
        <v>4.1293987073186598</v>
      </c>
      <c r="N60">
        <v>6.4314451860307997</v>
      </c>
      <c r="O60">
        <v>-60.076990181570203</v>
      </c>
      <c r="P60">
        <v>-41.524963947102997</v>
      </c>
    </row>
    <row r="61" spans="1:16" x14ac:dyDescent="0.35">
      <c r="A61" t="s">
        <v>108</v>
      </c>
      <c r="B61" t="s">
        <v>54</v>
      </c>
      <c r="C61" t="s">
        <v>32</v>
      </c>
      <c r="D61">
        <v>100407</v>
      </c>
      <c r="E61" t="s">
        <v>141</v>
      </c>
      <c r="F61">
        <v>49</v>
      </c>
      <c r="G61">
        <v>700</v>
      </c>
      <c r="H61">
        <v>3.8174999999999999</v>
      </c>
      <c r="I61">
        <v>12.835625409299199</v>
      </c>
      <c r="J61">
        <v>183.36607727570399</v>
      </c>
      <c r="K61" t="s">
        <v>109</v>
      </c>
      <c r="L61">
        <v>612.67999999999904</v>
      </c>
      <c r="M61">
        <v>7.99764967030097E-2</v>
      </c>
      <c r="N61">
        <v>2.0949966392405899</v>
      </c>
      <c r="O61">
        <v>-3.7375235032969898</v>
      </c>
      <c r="P61">
        <v>-2.5810656278789699</v>
      </c>
    </row>
    <row r="62" spans="1:16" x14ac:dyDescent="0.35">
      <c r="A62" t="s">
        <v>108</v>
      </c>
      <c r="B62" t="s">
        <v>54</v>
      </c>
      <c r="C62" t="s">
        <v>142</v>
      </c>
      <c r="D62">
        <v>100472</v>
      </c>
      <c r="E62" t="s">
        <v>143</v>
      </c>
      <c r="F62">
        <v>0</v>
      </c>
      <c r="G62">
        <v>0</v>
      </c>
      <c r="H62">
        <v>0</v>
      </c>
      <c r="I62">
        <v>0</v>
      </c>
      <c r="J62">
        <v>0</v>
      </c>
      <c r="K62" t="s">
        <v>109</v>
      </c>
      <c r="L62">
        <v>0</v>
      </c>
      <c r="M62">
        <v>0</v>
      </c>
      <c r="N62">
        <v>0</v>
      </c>
      <c r="O62">
        <v>0</v>
      </c>
      <c r="P62">
        <v>0</v>
      </c>
    </row>
    <row r="63" spans="1:16" x14ac:dyDescent="0.35">
      <c r="A63" t="s">
        <v>108</v>
      </c>
      <c r="B63" t="s">
        <v>54</v>
      </c>
      <c r="C63" t="s">
        <v>142</v>
      </c>
      <c r="D63">
        <v>100472</v>
      </c>
      <c r="E63" t="s">
        <v>144</v>
      </c>
      <c r="F63">
        <v>0</v>
      </c>
      <c r="G63">
        <v>0</v>
      </c>
      <c r="H63">
        <v>0</v>
      </c>
      <c r="I63">
        <v>0</v>
      </c>
      <c r="J63">
        <v>0</v>
      </c>
      <c r="K63" t="s">
        <v>109</v>
      </c>
      <c r="L63">
        <v>0</v>
      </c>
      <c r="M63">
        <v>0</v>
      </c>
      <c r="N63">
        <v>0</v>
      </c>
      <c r="O63">
        <v>0</v>
      </c>
      <c r="P63">
        <v>0</v>
      </c>
    </row>
    <row r="64" spans="1:16" x14ac:dyDescent="0.35">
      <c r="A64" t="s">
        <v>108</v>
      </c>
      <c r="B64" t="s">
        <v>54</v>
      </c>
      <c r="C64" t="s">
        <v>142</v>
      </c>
      <c r="D64">
        <v>100472</v>
      </c>
      <c r="E64" t="s">
        <v>145</v>
      </c>
      <c r="F64">
        <v>0</v>
      </c>
      <c r="G64">
        <v>0</v>
      </c>
      <c r="H64">
        <v>0</v>
      </c>
      <c r="I64">
        <v>0</v>
      </c>
      <c r="J64">
        <v>0</v>
      </c>
      <c r="K64" t="s">
        <v>109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1:16" x14ac:dyDescent="0.35">
      <c r="A65" t="s">
        <v>108</v>
      </c>
      <c r="B65" t="s">
        <v>54</v>
      </c>
      <c r="C65" t="s">
        <v>142</v>
      </c>
      <c r="D65">
        <v>100472</v>
      </c>
      <c r="E65" t="s">
        <v>146</v>
      </c>
      <c r="F65">
        <v>0</v>
      </c>
      <c r="G65">
        <v>0</v>
      </c>
      <c r="H65">
        <v>0</v>
      </c>
      <c r="I65">
        <v>0</v>
      </c>
      <c r="J65">
        <v>0</v>
      </c>
      <c r="K65" t="s">
        <v>109</v>
      </c>
      <c r="L65">
        <v>0</v>
      </c>
      <c r="M65">
        <v>0</v>
      </c>
      <c r="N65">
        <v>0</v>
      </c>
      <c r="O65">
        <v>0</v>
      </c>
      <c r="P65">
        <v>0</v>
      </c>
    </row>
    <row r="66" spans="1:16" x14ac:dyDescent="0.35">
      <c r="A66" t="s">
        <v>108</v>
      </c>
      <c r="B66" t="s">
        <v>54</v>
      </c>
      <c r="C66" t="s">
        <v>142</v>
      </c>
      <c r="D66">
        <v>100472</v>
      </c>
      <c r="E66" t="s">
        <v>147</v>
      </c>
      <c r="F66">
        <v>0</v>
      </c>
      <c r="G66">
        <v>0</v>
      </c>
      <c r="H66">
        <v>0</v>
      </c>
      <c r="I66">
        <v>0</v>
      </c>
      <c r="J66">
        <v>0</v>
      </c>
      <c r="K66" t="s">
        <v>109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35">
      <c r="A67" t="s">
        <v>108</v>
      </c>
      <c r="B67" t="s">
        <v>54</v>
      </c>
      <c r="C67" t="s">
        <v>142</v>
      </c>
      <c r="D67">
        <v>100472</v>
      </c>
      <c r="E67" t="s">
        <v>148</v>
      </c>
      <c r="F67">
        <v>0</v>
      </c>
      <c r="G67">
        <v>0</v>
      </c>
      <c r="H67">
        <v>0</v>
      </c>
      <c r="I67">
        <v>0</v>
      </c>
      <c r="J67">
        <v>0</v>
      </c>
      <c r="K67" t="s">
        <v>109</v>
      </c>
      <c r="L67">
        <v>0</v>
      </c>
      <c r="M67">
        <v>0</v>
      </c>
      <c r="N67">
        <v>0</v>
      </c>
      <c r="O67">
        <v>0</v>
      </c>
      <c r="P67">
        <v>0</v>
      </c>
    </row>
    <row r="68" spans="1:16" x14ac:dyDescent="0.35">
      <c r="A68" t="s">
        <v>108</v>
      </c>
      <c r="B68" t="s">
        <v>54</v>
      </c>
      <c r="C68" t="s">
        <v>142</v>
      </c>
      <c r="D68">
        <v>100472</v>
      </c>
      <c r="E68" t="s">
        <v>149</v>
      </c>
      <c r="F68">
        <v>0</v>
      </c>
      <c r="G68">
        <v>0</v>
      </c>
      <c r="H68">
        <v>0</v>
      </c>
      <c r="I68">
        <v>0</v>
      </c>
      <c r="J68">
        <v>0</v>
      </c>
      <c r="K68" t="s">
        <v>109</v>
      </c>
      <c r="L68">
        <v>0</v>
      </c>
      <c r="M68">
        <v>0</v>
      </c>
      <c r="N68">
        <v>0</v>
      </c>
      <c r="O68">
        <v>0</v>
      </c>
      <c r="P68">
        <v>0</v>
      </c>
    </row>
    <row r="69" spans="1:16" x14ac:dyDescent="0.35">
      <c r="A69" t="s">
        <v>108</v>
      </c>
      <c r="B69" t="s">
        <v>54</v>
      </c>
      <c r="C69" t="s">
        <v>142</v>
      </c>
      <c r="D69">
        <v>100472</v>
      </c>
      <c r="E69" t="s">
        <v>150</v>
      </c>
      <c r="F69">
        <v>0</v>
      </c>
      <c r="G69">
        <v>0</v>
      </c>
      <c r="H69">
        <v>0</v>
      </c>
      <c r="I69">
        <v>0</v>
      </c>
      <c r="J69">
        <v>0</v>
      </c>
      <c r="K69" t="s">
        <v>109</v>
      </c>
      <c r="L69">
        <v>0</v>
      </c>
      <c r="M69">
        <v>0</v>
      </c>
      <c r="N69">
        <v>0</v>
      </c>
      <c r="O69">
        <v>0</v>
      </c>
      <c r="P69">
        <v>0</v>
      </c>
    </row>
    <row r="70" spans="1:16" x14ac:dyDescent="0.35">
      <c r="A70" t="s">
        <v>108</v>
      </c>
      <c r="B70" t="s">
        <v>54</v>
      </c>
      <c r="C70" t="s">
        <v>142</v>
      </c>
      <c r="D70">
        <v>100472</v>
      </c>
      <c r="E70" t="s">
        <v>151</v>
      </c>
      <c r="F70">
        <v>0</v>
      </c>
      <c r="G70">
        <v>0</v>
      </c>
      <c r="H70">
        <v>0</v>
      </c>
      <c r="I70">
        <v>0</v>
      </c>
      <c r="J70">
        <v>0</v>
      </c>
      <c r="K70" t="s">
        <v>109</v>
      </c>
      <c r="L70">
        <v>0</v>
      </c>
      <c r="M70">
        <v>0</v>
      </c>
      <c r="N70">
        <v>0</v>
      </c>
      <c r="O70">
        <v>0</v>
      </c>
      <c r="P70">
        <v>0</v>
      </c>
    </row>
    <row r="71" spans="1:16" x14ac:dyDescent="0.35">
      <c r="A71" t="s">
        <v>108</v>
      </c>
      <c r="B71" t="s">
        <v>54</v>
      </c>
      <c r="C71" t="s">
        <v>142</v>
      </c>
      <c r="D71">
        <v>100472</v>
      </c>
      <c r="E71" t="s">
        <v>152</v>
      </c>
      <c r="F71">
        <v>0</v>
      </c>
      <c r="G71">
        <v>0</v>
      </c>
      <c r="H71">
        <v>0</v>
      </c>
      <c r="I71">
        <v>0</v>
      </c>
      <c r="J71">
        <v>0</v>
      </c>
      <c r="K71" t="s">
        <v>109</v>
      </c>
      <c r="L71">
        <v>0</v>
      </c>
      <c r="M71">
        <v>0</v>
      </c>
      <c r="N71">
        <v>0</v>
      </c>
      <c r="O71">
        <v>0</v>
      </c>
      <c r="P71">
        <v>0</v>
      </c>
    </row>
    <row r="72" spans="1:16" x14ac:dyDescent="0.35">
      <c r="A72" t="s">
        <v>108</v>
      </c>
      <c r="B72" t="s">
        <v>54</v>
      </c>
      <c r="C72" t="s">
        <v>142</v>
      </c>
      <c r="D72">
        <v>100472</v>
      </c>
      <c r="E72" t="s">
        <v>153</v>
      </c>
      <c r="F72">
        <v>0</v>
      </c>
      <c r="G72">
        <v>0</v>
      </c>
      <c r="H72">
        <v>0</v>
      </c>
      <c r="I72">
        <v>0</v>
      </c>
      <c r="J72">
        <v>0</v>
      </c>
      <c r="K72" t="s">
        <v>109</v>
      </c>
      <c r="L72">
        <v>0</v>
      </c>
      <c r="M72">
        <v>0</v>
      </c>
      <c r="N72">
        <v>0</v>
      </c>
      <c r="O72">
        <v>0</v>
      </c>
      <c r="P72">
        <v>0</v>
      </c>
    </row>
    <row r="73" spans="1:16" x14ac:dyDescent="0.35">
      <c r="A73" t="s">
        <v>108</v>
      </c>
      <c r="B73" t="s">
        <v>54</v>
      </c>
      <c r="C73" t="s">
        <v>142</v>
      </c>
      <c r="D73">
        <v>100472</v>
      </c>
      <c r="E73" t="s">
        <v>154</v>
      </c>
      <c r="F73">
        <v>0</v>
      </c>
      <c r="G73">
        <v>0</v>
      </c>
      <c r="H73">
        <v>0</v>
      </c>
      <c r="I73">
        <v>0</v>
      </c>
      <c r="J73">
        <v>0</v>
      </c>
      <c r="K73" t="s">
        <v>109</v>
      </c>
      <c r="L73">
        <v>0</v>
      </c>
      <c r="M73">
        <v>0</v>
      </c>
      <c r="N73">
        <v>0</v>
      </c>
      <c r="O73">
        <v>0</v>
      </c>
      <c r="P73">
        <v>0</v>
      </c>
    </row>
    <row r="74" spans="1:16" x14ac:dyDescent="0.35">
      <c r="A74" t="s">
        <v>108</v>
      </c>
      <c r="B74" t="s">
        <v>54</v>
      </c>
      <c r="C74" t="s">
        <v>142</v>
      </c>
      <c r="D74">
        <v>100472</v>
      </c>
      <c r="E74" t="s">
        <v>155</v>
      </c>
      <c r="F74">
        <v>0</v>
      </c>
      <c r="G74">
        <v>0</v>
      </c>
      <c r="H74">
        <v>0</v>
      </c>
      <c r="I74">
        <v>0</v>
      </c>
      <c r="J74">
        <v>0</v>
      </c>
      <c r="K74" t="s">
        <v>109</v>
      </c>
      <c r="L74">
        <v>0</v>
      </c>
      <c r="M74">
        <v>0</v>
      </c>
      <c r="N74">
        <v>0</v>
      </c>
      <c r="O74">
        <v>0</v>
      </c>
      <c r="P74">
        <v>0</v>
      </c>
    </row>
    <row r="75" spans="1:16" x14ac:dyDescent="0.35">
      <c r="A75" t="s">
        <v>108</v>
      </c>
      <c r="B75" t="s">
        <v>54</v>
      </c>
      <c r="C75" t="s">
        <v>142</v>
      </c>
      <c r="D75">
        <v>100472</v>
      </c>
      <c r="E75" t="s">
        <v>156</v>
      </c>
      <c r="F75">
        <v>0</v>
      </c>
      <c r="G75">
        <v>0</v>
      </c>
      <c r="H75">
        <v>0</v>
      </c>
      <c r="I75">
        <v>0</v>
      </c>
      <c r="J75">
        <v>0</v>
      </c>
      <c r="K75" t="s">
        <v>109</v>
      </c>
      <c r="L75">
        <v>0</v>
      </c>
      <c r="M75">
        <v>0</v>
      </c>
      <c r="N75">
        <v>0</v>
      </c>
      <c r="O75">
        <v>0</v>
      </c>
      <c r="P75">
        <v>0</v>
      </c>
    </row>
    <row r="76" spans="1:16" x14ac:dyDescent="0.35">
      <c r="A76" t="s">
        <v>108</v>
      </c>
      <c r="B76" t="s">
        <v>54</v>
      </c>
      <c r="C76" t="s">
        <v>142</v>
      </c>
      <c r="D76">
        <v>100472</v>
      </c>
      <c r="E76" t="s">
        <v>157</v>
      </c>
      <c r="F76">
        <v>0</v>
      </c>
      <c r="G76">
        <v>0</v>
      </c>
      <c r="H76">
        <v>0</v>
      </c>
      <c r="I76">
        <v>0</v>
      </c>
      <c r="J76">
        <v>0</v>
      </c>
      <c r="K76" t="s">
        <v>109</v>
      </c>
      <c r="L76">
        <v>0</v>
      </c>
      <c r="M76">
        <v>0</v>
      </c>
      <c r="N76">
        <v>0</v>
      </c>
      <c r="O76">
        <v>0</v>
      </c>
      <c r="P76">
        <v>0</v>
      </c>
    </row>
    <row r="77" spans="1:16" x14ac:dyDescent="0.35">
      <c r="A77" t="s">
        <v>108</v>
      </c>
      <c r="B77" t="s">
        <v>54</v>
      </c>
      <c r="C77" t="s">
        <v>142</v>
      </c>
      <c r="D77">
        <v>100472</v>
      </c>
      <c r="E77" t="s">
        <v>158</v>
      </c>
      <c r="F77">
        <v>0</v>
      </c>
      <c r="G77">
        <v>0</v>
      </c>
      <c r="H77">
        <v>0</v>
      </c>
      <c r="I77">
        <v>0</v>
      </c>
      <c r="J77">
        <v>0</v>
      </c>
      <c r="K77" t="s">
        <v>109</v>
      </c>
      <c r="L77">
        <v>0</v>
      </c>
      <c r="M77">
        <v>0</v>
      </c>
      <c r="N77">
        <v>0</v>
      </c>
      <c r="O77">
        <v>0</v>
      </c>
      <c r="P77">
        <v>0</v>
      </c>
    </row>
    <row r="78" spans="1:16" x14ac:dyDescent="0.35">
      <c r="A78" t="s">
        <v>108</v>
      </c>
      <c r="B78" t="s">
        <v>54</v>
      </c>
      <c r="C78" t="s">
        <v>142</v>
      </c>
      <c r="D78">
        <v>100472</v>
      </c>
      <c r="E78" t="s">
        <v>159</v>
      </c>
      <c r="F78">
        <v>0</v>
      </c>
      <c r="G78">
        <v>0</v>
      </c>
      <c r="H78">
        <v>0</v>
      </c>
      <c r="I78">
        <v>0</v>
      </c>
      <c r="J78">
        <v>0</v>
      </c>
      <c r="K78" t="s">
        <v>109</v>
      </c>
      <c r="L78">
        <v>0</v>
      </c>
      <c r="M78">
        <v>0</v>
      </c>
      <c r="N78">
        <v>0</v>
      </c>
      <c r="O78">
        <v>0</v>
      </c>
      <c r="P78">
        <v>0</v>
      </c>
    </row>
    <row r="79" spans="1:16" x14ac:dyDescent="0.35">
      <c r="A79" t="s">
        <v>108</v>
      </c>
      <c r="B79" t="s">
        <v>54</v>
      </c>
      <c r="C79" t="s">
        <v>142</v>
      </c>
      <c r="D79">
        <v>100472</v>
      </c>
      <c r="E79" t="s">
        <v>160</v>
      </c>
      <c r="F79">
        <v>0</v>
      </c>
      <c r="G79">
        <v>0</v>
      </c>
      <c r="H79">
        <v>0</v>
      </c>
      <c r="I79">
        <v>0</v>
      </c>
      <c r="J79">
        <v>0</v>
      </c>
      <c r="K79" t="s">
        <v>109</v>
      </c>
      <c r="L79">
        <v>0</v>
      </c>
      <c r="M79">
        <v>0</v>
      </c>
      <c r="N79">
        <v>0</v>
      </c>
      <c r="O79">
        <v>0</v>
      </c>
      <c r="P79">
        <v>0</v>
      </c>
    </row>
    <row r="80" spans="1:16" x14ac:dyDescent="0.35">
      <c r="A80" t="s">
        <v>108</v>
      </c>
      <c r="B80" t="s">
        <v>54</v>
      </c>
      <c r="C80" t="s">
        <v>142</v>
      </c>
      <c r="D80">
        <v>100472</v>
      </c>
      <c r="E80" t="s">
        <v>161</v>
      </c>
      <c r="F80">
        <v>0</v>
      </c>
      <c r="G80">
        <v>0</v>
      </c>
      <c r="H80">
        <v>0</v>
      </c>
      <c r="I80">
        <v>0</v>
      </c>
      <c r="J80">
        <v>0</v>
      </c>
      <c r="K80" t="s">
        <v>109</v>
      </c>
      <c r="L80">
        <v>0</v>
      </c>
      <c r="M80">
        <v>0</v>
      </c>
      <c r="N80">
        <v>0</v>
      </c>
      <c r="O80">
        <v>0</v>
      </c>
      <c r="P80">
        <v>0</v>
      </c>
    </row>
    <row r="81" spans="1:16" x14ac:dyDescent="0.35">
      <c r="A81" t="s">
        <v>108</v>
      </c>
      <c r="B81" t="s">
        <v>54</v>
      </c>
      <c r="C81" t="s">
        <v>142</v>
      </c>
      <c r="D81">
        <v>100472</v>
      </c>
      <c r="E81" t="s">
        <v>162</v>
      </c>
      <c r="F81">
        <v>0</v>
      </c>
      <c r="G81">
        <v>0</v>
      </c>
      <c r="H81">
        <v>0</v>
      </c>
      <c r="I81">
        <v>0</v>
      </c>
      <c r="J81">
        <v>0</v>
      </c>
      <c r="K81" t="s">
        <v>109</v>
      </c>
      <c r="L81">
        <v>0</v>
      </c>
      <c r="M81">
        <v>0</v>
      </c>
      <c r="N81">
        <v>0</v>
      </c>
      <c r="O81">
        <v>0</v>
      </c>
      <c r="P81">
        <v>0</v>
      </c>
    </row>
    <row r="82" spans="1:16" x14ac:dyDescent="0.35">
      <c r="A82" t="s">
        <v>108</v>
      </c>
      <c r="B82" t="s">
        <v>54</v>
      </c>
      <c r="C82" t="s">
        <v>142</v>
      </c>
      <c r="D82">
        <v>100472</v>
      </c>
      <c r="E82" t="s">
        <v>163</v>
      </c>
      <c r="F82">
        <v>0</v>
      </c>
      <c r="G82">
        <v>0</v>
      </c>
      <c r="H82">
        <v>0</v>
      </c>
      <c r="I82">
        <v>0</v>
      </c>
      <c r="J82">
        <v>0</v>
      </c>
      <c r="K82" t="s">
        <v>109</v>
      </c>
      <c r="L82">
        <v>0</v>
      </c>
      <c r="M82">
        <v>0</v>
      </c>
      <c r="N82">
        <v>0</v>
      </c>
      <c r="O82">
        <v>0</v>
      </c>
      <c r="P82">
        <v>0</v>
      </c>
    </row>
    <row r="83" spans="1:16" x14ac:dyDescent="0.35">
      <c r="A83" t="s">
        <v>108</v>
      </c>
      <c r="B83" t="s">
        <v>54</v>
      </c>
      <c r="C83" t="s">
        <v>142</v>
      </c>
      <c r="D83">
        <v>100472</v>
      </c>
      <c r="E83" t="s">
        <v>164</v>
      </c>
      <c r="F83">
        <v>0</v>
      </c>
      <c r="G83">
        <v>0</v>
      </c>
      <c r="H83">
        <v>0</v>
      </c>
      <c r="I83">
        <v>0</v>
      </c>
      <c r="J83">
        <v>0</v>
      </c>
      <c r="K83" t="s">
        <v>109</v>
      </c>
      <c r="L83">
        <v>0</v>
      </c>
      <c r="M83">
        <v>0</v>
      </c>
      <c r="N83">
        <v>0</v>
      </c>
      <c r="O83">
        <v>0</v>
      </c>
      <c r="P83">
        <v>0</v>
      </c>
    </row>
    <row r="84" spans="1:16" x14ac:dyDescent="0.35">
      <c r="A84" t="s">
        <v>108</v>
      </c>
      <c r="B84" t="s">
        <v>54</v>
      </c>
      <c r="C84" t="s">
        <v>142</v>
      </c>
      <c r="D84">
        <v>100472</v>
      </c>
      <c r="E84" t="s">
        <v>165</v>
      </c>
      <c r="F84">
        <v>0</v>
      </c>
      <c r="G84">
        <v>0</v>
      </c>
      <c r="H84">
        <v>0</v>
      </c>
      <c r="I84">
        <v>0</v>
      </c>
      <c r="J84">
        <v>0</v>
      </c>
      <c r="K84" t="s">
        <v>109</v>
      </c>
      <c r="L84">
        <v>0</v>
      </c>
      <c r="M84">
        <v>0</v>
      </c>
      <c r="N84">
        <v>0</v>
      </c>
      <c r="O84">
        <v>0</v>
      </c>
      <c r="P84">
        <v>0</v>
      </c>
    </row>
    <row r="85" spans="1:16" x14ac:dyDescent="0.35">
      <c r="A85" t="s">
        <v>108</v>
      </c>
      <c r="B85" t="s">
        <v>54</v>
      </c>
      <c r="C85" t="s">
        <v>142</v>
      </c>
      <c r="D85">
        <v>100472</v>
      </c>
      <c r="E85" t="s">
        <v>166</v>
      </c>
      <c r="F85">
        <v>0</v>
      </c>
      <c r="G85">
        <v>0</v>
      </c>
      <c r="H85">
        <v>0</v>
      </c>
      <c r="I85">
        <v>0</v>
      </c>
      <c r="J85">
        <v>0</v>
      </c>
      <c r="K85" t="s">
        <v>109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1:16" x14ac:dyDescent="0.35">
      <c r="A86" t="s">
        <v>108</v>
      </c>
      <c r="B86" t="s">
        <v>54</v>
      </c>
      <c r="C86" t="s">
        <v>142</v>
      </c>
      <c r="D86">
        <v>100472</v>
      </c>
      <c r="E86" t="s">
        <v>167</v>
      </c>
      <c r="F86">
        <v>0</v>
      </c>
      <c r="G86">
        <v>0</v>
      </c>
      <c r="H86">
        <v>0</v>
      </c>
      <c r="I86">
        <v>0</v>
      </c>
      <c r="J86">
        <v>0</v>
      </c>
      <c r="K86" t="s">
        <v>109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1:16" x14ac:dyDescent="0.35">
      <c r="A87" t="s">
        <v>108</v>
      </c>
      <c r="B87" t="s">
        <v>54</v>
      </c>
      <c r="C87" t="s">
        <v>142</v>
      </c>
      <c r="D87">
        <v>100472</v>
      </c>
      <c r="E87" t="s">
        <v>168</v>
      </c>
      <c r="F87">
        <v>0</v>
      </c>
      <c r="G87">
        <v>0</v>
      </c>
      <c r="H87">
        <v>0</v>
      </c>
      <c r="I87">
        <v>0</v>
      </c>
      <c r="J87">
        <v>0</v>
      </c>
      <c r="K87" t="s">
        <v>109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1:16" x14ac:dyDescent="0.35">
      <c r="A88" t="s">
        <v>108</v>
      </c>
      <c r="B88" t="s">
        <v>54</v>
      </c>
      <c r="C88" t="s">
        <v>142</v>
      </c>
      <c r="D88">
        <v>100472</v>
      </c>
      <c r="E88" t="s">
        <v>169</v>
      </c>
      <c r="F88">
        <v>0</v>
      </c>
      <c r="G88">
        <v>0</v>
      </c>
      <c r="H88">
        <v>0</v>
      </c>
      <c r="I88">
        <v>0</v>
      </c>
      <c r="J88">
        <v>0</v>
      </c>
      <c r="K88" t="s">
        <v>109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1:16" x14ac:dyDescent="0.35">
      <c r="A89" t="s">
        <v>108</v>
      </c>
      <c r="B89" t="s">
        <v>54</v>
      </c>
      <c r="C89" t="s">
        <v>142</v>
      </c>
      <c r="D89">
        <v>100472</v>
      </c>
      <c r="E89" t="s">
        <v>170</v>
      </c>
      <c r="F89">
        <v>0</v>
      </c>
      <c r="G89">
        <v>0</v>
      </c>
      <c r="H89">
        <v>0</v>
      </c>
      <c r="I89">
        <v>0</v>
      </c>
      <c r="J89">
        <v>0</v>
      </c>
      <c r="K89" t="s">
        <v>109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1:16" x14ac:dyDescent="0.35">
      <c r="A90" t="s">
        <v>108</v>
      </c>
      <c r="B90" t="s">
        <v>54</v>
      </c>
      <c r="C90" t="s">
        <v>142</v>
      </c>
      <c r="D90">
        <v>100472</v>
      </c>
      <c r="E90" t="s">
        <v>171</v>
      </c>
      <c r="F90">
        <v>0</v>
      </c>
      <c r="G90">
        <v>0</v>
      </c>
      <c r="H90">
        <v>0</v>
      </c>
      <c r="I90">
        <v>0</v>
      </c>
      <c r="J90">
        <v>0</v>
      </c>
      <c r="K90" t="s">
        <v>109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1:16" x14ac:dyDescent="0.35">
      <c r="A91" t="s">
        <v>108</v>
      </c>
      <c r="B91" t="s">
        <v>54</v>
      </c>
      <c r="C91" t="s">
        <v>142</v>
      </c>
      <c r="D91">
        <v>100472</v>
      </c>
      <c r="E91" t="s">
        <v>172</v>
      </c>
      <c r="F91">
        <v>0</v>
      </c>
      <c r="G91">
        <v>0</v>
      </c>
      <c r="H91">
        <v>0</v>
      </c>
      <c r="I91">
        <v>0</v>
      </c>
      <c r="J91">
        <v>0</v>
      </c>
      <c r="K91" t="s">
        <v>109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1:16" x14ac:dyDescent="0.35">
      <c r="A92" t="s">
        <v>108</v>
      </c>
      <c r="B92" t="s">
        <v>54</v>
      </c>
      <c r="C92" t="s">
        <v>142</v>
      </c>
      <c r="D92">
        <v>100472</v>
      </c>
      <c r="E92" t="s">
        <v>173</v>
      </c>
      <c r="F92">
        <v>0</v>
      </c>
      <c r="G92">
        <v>0</v>
      </c>
      <c r="H92">
        <v>0</v>
      </c>
      <c r="I92">
        <v>0</v>
      </c>
      <c r="J92">
        <v>0</v>
      </c>
      <c r="K92" t="s">
        <v>109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1:16" x14ac:dyDescent="0.35">
      <c r="A93" t="s">
        <v>108</v>
      </c>
      <c r="B93" t="s">
        <v>54</v>
      </c>
      <c r="C93" t="s">
        <v>142</v>
      </c>
      <c r="D93">
        <v>100472</v>
      </c>
      <c r="E93" t="s">
        <v>174</v>
      </c>
      <c r="F93">
        <v>0</v>
      </c>
      <c r="G93">
        <v>0</v>
      </c>
      <c r="H93">
        <v>0</v>
      </c>
      <c r="I93">
        <v>0</v>
      </c>
      <c r="J93">
        <v>0</v>
      </c>
      <c r="K93" t="s">
        <v>109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1:16" x14ac:dyDescent="0.35">
      <c r="A94" t="s">
        <v>108</v>
      </c>
      <c r="B94" t="s">
        <v>54</v>
      </c>
      <c r="C94" t="s">
        <v>142</v>
      </c>
      <c r="D94">
        <v>100472</v>
      </c>
      <c r="E94" t="s">
        <v>175</v>
      </c>
      <c r="F94">
        <v>0</v>
      </c>
      <c r="G94">
        <v>0</v>
      </c>
      <c r="H94">
        <v>0</v>
      </c>
      <c r="I94">
        <v>0</v>
      </c>
      <c r="J94">
        <v>0</v>
      </c>
      <c r="K94" t="s">
        <v>109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1:16" x14ac:dyDescent="0.35">
      <c r="A95" t="s">
        <v>108</v>
      </c>
      <c r="B95" t="s">
        <v>54</v>
      </c>
      <c r="C95" t="s">
        <v>142</v>
      </c>
      <c r="D95">
        <v>100472</v>
      </c>
      <c r="E95" t="s">
        <v>176</v>
      </c>
      <c r="F95">
        <v>0</v>
      </c>
      <c r="G95">
        <v>0</v>
      </c>
      <c r="H95">
        <v>0</v>
      </c>
      <c r="I95">
        <v>0</v>
      </c>
      <c r="J95">
        <v>0</v>
      </c>
      <c r="K95" t="s">
        <v>109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x14ac:dyDescent="0.35">
      <c r="A96" t="s">
        <v>108</v>
      </c>
      <c r="B96" t="s">
        <v>54</v>
      </c>
      <c r="C96" t="s">
        <v>142</v>
      </c>
      <c r="D96">
        <v>100472</v>
      </c>
      <c r="E96" t="s">
        <v>177</v>
      </c>
      <c r="F96">
        <v>0</v>
      </c>
      <c r="G96">
        <v>0</v>
      </c>
      <c r="H96">
        <v>0</v>
      </c>
      <c r="I96">
        <v>0</v>
      </c>
      <c r="J96">
        <v>0</v>
      </c>
      <c r="K96" t="s">
        <v>109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x14ac:dyDescent="0.35">
      <c r="A97" t="s">
        <v>108</v>
      </c>
      <c r="B97" t="s">
        <v>54</v>
      </c>
      <c r="C97" t="s">
        <v>142</v>
      </c>
      <c r="D97">
        <v>100472</v>
      </c>
      <c r="E97" t="s">
        <v>178</v>
      </c>
      <c r="F97">
        <v>0</v>
      </c>
      <c r="G97">
        <v>0</v>
      </c>
      <c r="H97">
        <v>0</v>
      </c>
      <c r="I97">
        <v>0</v>
      </c>
      <c r="J97">
        <v>0</v>
      </c>
      <c r="K97" t="s">
        <v>109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1:16" x14ac:dyDescent="0.35">
      <c r="A98" t="s">
        <v>108</v>
      </c>
      <c r="B98" t="s">
        <v>54</v>
      </c>
      <c r="C98" t="s">
        <v>142</v>
      </c>
      <c r="D98">
        <v>100472</v>
      </c>
      <c r="E98" t="s">
        <v>179</v>
      </c>
      <c r="F98">
        <v>0</v>
      </c>
      <c r="G98">
        <v>0</v>
      </c>
      <c r="H98">
        <v>0</v>
      </c>
      <c r="I98">
        <v>0</v>
      </c>
      <c r="J98">
        <v>0</v>
      </c>
      <c r="K98" t="s">
        <v>109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1:16" x14ac:dyDescent="0.35">
      <c r="A99" t="s">
        <v>108</v>
      </c>
      <c r="B99" t="s">
        <v>54</v>
      </c>
      <c r="C99" t="s">
        <v>142</v>
      </c>
      <c r="D99">
        <v>100472</v>
      </c>
      <c r="E99" t="s">
        <v>180</v>
      </c>
      <c r="F99">
        <v>0</v>
      </c>
      <c r="G99">
        <v>0</v>
      </c>
      <c r="H99">
        <v>0</v>
      </c>
      <c r="I99">
        <v>0</v>
      </c>
      <c r="J99">
        <v>0</v>
      </c>
      <c r="K99" t="s">
        <v>109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x14ac:dyDescent="0.35">
      <c r="A100" t="s">
        <v>108</v>
      </c>
      <c r="B100" t="s">
        <v>54</v>
      </c>
      <c r="C100" t="s">
        <v>142</v>
      </c>
      <c r="D100">
        <v>100472</v>
      </c>
      <c r="E100" t="s">
        <v>181</v>
      </c>
      <c r="F100">
        <v>0</v>
      </c>
      <c r="G100">
        <v>0</v>
      </c>
      <c r="H100">
        <v>0</v>
      </c>
      <c r="I100">
        <v>0</v>
      </c>
      <c r="J100">
        <v>0</v>
      </c>
      <c r="K100" t="s">
        <v>109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1:16" x14ac:dyDescent="0.35">
      <c r="A101" t="s">
        <v>108</v>
      </c>
      <c r="B101" t="s">
        <v>54</v>
      </c>
      <c r="C101" t="s">
        <v>142</v>
      </c>
      <c r="D101">
        <v>100472</v>
      </c>
      <c r="E101" t="s">
        <v>182</v>
      </c>
      <c r="F101">
        <v>0</v>
      </c>
      <c r="G101">
        <v>0</v>
      </c>
      <c r="H101">
        <v>0</v>
      </c>
      <c r="I101">
        <v>0</v>
      </c>
      <c r="J101">
        <v>0</v>
      </c>
      <c r="K101" t="s">
        <v>109</v>
      </c>
      <c r="L101">
        <v>0</v>
      </c>
      <c r="M101">
        <v>0</v>
      </c>
      <c r="N101">
        <v>0</v>
      </c>
      <c r="O101">
        <v>0</v>
      </c>
      <c r="P101">
        <v>0</v>
      </c>
    </row>
    <row r="102" spans="1:16" x14ac:dyDescent="0.35">
      <c r="A102" t="s">
        <v>108</v>
      </c>
      <c r="B102" t="s">
        <v>54</v>
      </c>
      <c r="C102" t="s">
        <v>142</v>
      </c>
      <c r="D102">
        <v>100472</v>
      </c>
      <c r="E102" t="s">
        <v>183</v>
      </c>
      <c r="F102">
        <v>0</v>
      </c>
      <c r="G102">
        <v>0</v>
      </c>
      <c r="H102">
        <v>0</v>
      </c>
      <c r="I102">
        <v>0</v>
      </c>
      <c r="J102">
        <v>0</v>
      </c>
      <c r="K102" t="s">
        <v>109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1:16" x14ac:dyDescent="0.35">
      <c r="A103" t="s">
        <v>108</v>
      </c>
      <c r="B103" t="s">
        <v>54</v>
      </c>
      <c r="C103" t="s">
        <v>142</v>
      </c>
      <c r="D103">
        <v>100472</v>
      </c>
      <c r="E103" t="s">
        <v>184</v>
      </c>
      <c r="F103">
        <v>0</v>
      </c>
      <c r="G103">
        <v>0</v>
      </c>
      <c r="H103">
        <v>0</v>
      </c>
      <c r="I103">
        <v>0</v>
      </c>
      <c r="J103">
        <v>0</v>
      </c>
      <c r="K103" t="s">
        <v>109</v>
      </c>
      <c r="L103">
        <v>0</v>
      </c>
      <c r="M103">
        <v>0</v>
      </c>
      <c r="N103">
        <v>0</v>
      </c>
      <c r="O103">
        <v>0</v>
      </c>
      <c r="P103">
        <v>0</v>
      </c>
    </row>
    <row r="104" spans="1:16" x14ac:dyDescent="0.35">
      <c r="A104" t="s">
        <v>108</v>
      </c>
      <c r="B104" t="s">
        <v>54</v>
      </c>
      <c r="C104" t="s">
        <v>142</v>
      </c>
      <c r="D104">
        <v>100472</v>
      </c>
      <c r="E104" t="s">
        <v>185</v>
      </c>
      <c r="F104">
        <v>0</v>
      </c>
      <c r="G104">
        <v>0</v>
      </c>
      <c r="H104">
        <v>0</v>
      </c>
      <c r="I104">
        <v>0</v>
      </c>
      <c r="J104">
        <v>0</v>
      </c>
      <c r="K104" t="s">
        <v>109</v>
      </c>
      <c r="L104">
        <v>0</v>
      </c>
      <c r="M104">
        <v>0</v>
      </c>
      <c r="N104">
        <v>0</v>
      </c>
      <c r="O104">
        <v>0</v>
      </c>
      <c r="P104">
        <v>0</v>
      </c>
    </row>
    <row r="105" spans="1:16" x14ac:dyDescent="0.35">
      <c r="A105" t="s">
        <v>108</v>
      </c>
      <c r="B105" t="s">
        <v>54</v>
      </c>
      <c r="C105" t="s">
        <v>142</v>
      </c>
      <c r="D105">
        <v>100472</v>
      </c>
      <c r="E105" t="s">
        <v>186</v>
      </c>
      <c r="F105">
        <v>0</v>
      </c>
      <c r="G105">
        <v>0</v>
      </c>
      <c r="H105">
        <v>0</v>
      </c>
      <c r="I105">
        <v>0</v>
      </c>
      <c r="J105">
        <v>0</v>
      </c>
      <c r="K105" t="s">
        <v>109</v>
      </c>
      <c r="L105">
        <v>0</v>
      </c>
      <c r="M105">
        <v>0</v>
      </c>
      <c r="N105">
        <v>0</v>
      </c>
      <c r="O105">
        <v>0</v>
      </c>
      <c r="P105">
        <v>0</v>
      </c>
    </row>
    <row r="106" spans="1:16" x14ac:dyDescent="0.35">
      <c r="A106" t="s">
        <v>108</v>
      </c>
      <c r="B106" t="s">
        <v>54</v>
      </c>
      <c r="C106" t="s">
        <v>142</v>
      </c>
      <c r="D106">
        <v>100472</v>
      </c>
      <c r="E106" t="s">
        <v>187</v>
      </c>
      <c r="F106">
        <v>0</v>
      </c>
      <c r="G106">
        <v>0</v>
      </c>
      <c r="H106">
        <v>0</v>
      </c>
      <c r="I106">
        <v>0</v>
      </c>
      <c r="J106">
        <v>0</v>
      </c>
      <c r="K106" t="s">
        <v>109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35">
      <c r="A107" t="s">
        <v>108</v>
      </c>
      <c r="B107" t="s">
        <v>54</v>
      </c>
      <c r="C107" t="s">
        <v>142</v>
      </c>
      <c r="D107">
        <v>100472</v>
      </c>
      <c r="E107" t="s">
        <v>188</v>
      </c>
      <c r="F107">
        <v>0</v>
      </c>
      <c r="G107">
        <v>0</v>
      </c>
      <c r="H107">
        <v>0</v>
      </c>
      <c r="I107">
        <v>0</v>
      </c>
      <c r="J107">
        <v>0</v>
      </c>
      <c r="K107" t="s">
        <v>109</v>
      </c>
      <c r="L107">
        <v>0</v>
      </c>
      <c r="M107">
        <v>0</v>
      </c>
      <c r="N107">
        <v>0</v>
      </c>
      <c r="O107">
        <v>0</v>
      </c>
      <c r="P107">
        <v>0</v>
      </c>
    </row>
    <row r="108" spans="1:16" x14ac:dyDescent="0.35">
      <c r="A108" t="s">
        <v>108</v>
      </c>
      <c r="B108" t="s">
        <v>54</v>
      </c>
      <c r="C108" t="s">
        <v>142</v>
      </c>
      <c r="D108">
        <v>100472</v>
      </c>
      <c r="E108" t="s">
        <v>189</v>
      </c>
      <c r="F108">
        <v>0</v>
      </c>
      <c r="G108">
        <v>0</v>
      </c>
      <c r="H108">
        <v>0</v>
      </c>
      <c r="I108">
        <v>0</v>
      </c>
      <c r="J108">
        <v>0</v>
      </c>
      <c r="K108" t="s">
        <v>109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1:16" x14ac:dyDescent="0.35">
      <c r="A109" t="s">
        <v>108</v>
      </c>
      <c r="B109" t="s">
        <v>54</v>
      </c>
      <c r="C109" t="s">
        <v>142</v>
      </c>
      <c r="D109">
        <v>100472</v>
      </c>
      <c r="E109" t="s">
        <v>190</v>
      </c>
      <c r="F109">
        <v>0</v>
      </c>
      <c r="G109">
        <v>0</v>
      </c>
      <c r="H109">
        <v>0</v>
      </c>
      <c r="I109">
        <v>0</v>
      </c>
      <c r="J109">
        <v>0</v>
      </c>
      <c r="K109" t="s">
        <v>109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1:16" x14ac:dyDescent="0.35">
      <c r="A110" t="s">
        <v>108</v>
      </c>
      <c r="B110" t="s">
        <v>54</v>
      </c>
      <c r="C110" t="s">
        <v>142</v>
      </c>
      <c r="D110">
        <v>100472</v>
      </c>
      <c r="E110" t="s">
        <v>191</v>
      </c>
      <c r="F110">
        <v>0</v>
      </c>
      <c r="G110">
        <v>0</v>
      </c>
      <c r="H110">
        <v>0</v>
      </c>
      <c r="I110">
        <v>0</v>
      </c>
      <c r="J110">
        <v>0</v>
      </c>
      <c r="K110" t="s">
        <v>109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1:16" x14ac:dyDescent="0.35">
      <c r="A111" t="s">
        <v>108</v>
      </c>
      <c r="B111" t="s">
        <v>54</v>
      </c>
      <c r="C111" t="s">
        <v>142</v>
      </c>
      <c r="D111">
        <v>100472</v>
      </c>
      <c r="E111" t="s">
        <v>192</v>
      </c>
      <c r="F111">
        <v>0</v>
      </c>
      <c r="G111">
        <v>0</v>
      </c>
      <c r="H111">
        <v>0</v>
      </c>
      <c r="I111">
        <v>0</v>
      </c>
      <c r="J111">
        <v>0</v>
      </c>
      <c r="K111" t="s">
        <v>109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1:16" x14ac:dyDescent="0.35">
      <c r="A112" t="s">
        <v>108</v>
      </c>
      <c r="B112" t="s">
        <v>54</v>
      </c>
      <c r="C112" t="s">
        <v>142</v>
      </c>
      <c r="D112">
        <v>100472</v>
      </c>
      <c r="E112" t="s">
        <v>193</v>
      </c>
      <c r="F112">
        <v>0</v>
      </c>
      <c r="G112">
        <v>0</v>
      </c>
      <c r="H112">
        <v>0</v>
      </c>
      <c r="I112">
        <v>0</v>
      </c>
      <c r="J112">
        <v>0</v>
      </c>
      <c r="K112" t="s">
        <v>109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1:16" x14ac:dyDescent="0.35">
      <c r="A113" t="s">
        <v>108</v>
      </c>
      <c r="B113" t="s">
        <v>54</v>
      </c>
      <c r="C113" t="s">
        <v>142</v>
      </c>
      <c r="D113">
        <v>100472</v>
      </c>
      <c r="E113" t="s">
        <v>194</v>
      </c>
      <c r="F113">
        <v>0</v>
      </c>
      <c r="G113">
        <v>0</v>
      </c>
      <c r="H113">
        <v>0</v>
      </c>
      <c r="I113">
        <v>0</v>
      </c>
      <c r="J113">
        <v>0</v>
      </c>
      <c r="K113" t="s">
        <v>109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1:16" x14ac:dyDescent="0.35">
      <c r="A114" t="s">
        <v>108</v>
      </c>
      <c r="B114" t="s">
        <v>54</v>
      </c>
      <c r="C114" t="s">
        <v>142</v>
      </c>
      <c r="D114">
        <v>100472</v>
      </c>
      <c r="E114" t="s">
        <v>195</v>
      </c>
      <c r="F114">
        <v>0</v>
      </c>
      <c r="G114">
        <v>0</v>
      </c>
      <c r="H114">
        <v>0</v>
      </c>
      <c r="I114">
        <v>0</v>
      </c>
      <c r="J114">
        <v>0</v>
      </c>
      <c r="K114" t="s">
        <v>109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1:16" x14ac:dyDescent="0.35">
      <c r="A115" t="s">
        <v>108</v>
      </c>
      <c r="B115" t="s">
        <v>54</v>
      </c>
      <c r="C115" t="s">
        <v>142</v>
      </c>
      <c r="D115">
        <v>100472</v>
      </c>
      <c r="E115" t="s">
        <v>196</v>
      </c>
      <c r="F115">
        <v>0</v>
      </c>
      <c r="G115">
        <v>0</v>
      </c>
      <c r="H115">
        <v>0</v>
      </c>
      <c r="I115">
        <v>0</v>
      </c>
      <c r="J115">
        <v>0</v>
      </c>
      <c r="K115" t="s">
        <v>109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1:16" x14ac:dyDescent="0.35">
      <c r="A116" t="s">
        <v>108</v>
      </c>
      <c r="B116" t="s">
        <v>54</v>
      </c>
      <c r="C116" t="s">
        <v>142</v>
      </c>
      <c r="D116">
        <v>100472</v>
      </c>
      <c r="E116" t="s">
        <v>197</v>
      </c>
      <c r="F116">
        <v>0</v>
      </c>
      <c r="G116">
        <v>0</v>
      </c>
      <c r="H116">
        <v>0</v>
      </c>
      <c r="I116">
        <v>0</v>
      </c>
      <c r="J116">
        <v>0</v>
      </c>
      <c r="K116" t="s">
        <v>109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1:16" x14ac:dyDescent="0.35">
      <c r="A117" t="s">
        <v>108</v>
      </c>
      <c r="B117" t="s">
        <v>54</v>
      </c>
      <c r="C117" t="s">
        <v>142</v>
      </c>
      <c r="D117">
        <v>100472</v>
      </c>
      <c r="E117" t="s">
        <v>198</v>
      </c>
      <c r="F117">
        <v>0</v>
      </c>
      <c r="G117">
        <v>0</v>
      </c>
      <c r="H117">
        <v>0</v>
      </c>
      <c r="I117">
        <v>0</v>
      </c>
      <c r="J117">
        <v>0</v>
      </c>
      <c r="K117" t="s">
        <v>109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1:16" x14ac:dyDescent="0.35">
      <c r="A118" t="s">
        <v>108</v>
      </c>
      <c r="B118" t="s">
        <v>54</v>
      </c>
      <c r="C118" t="s">
        <v>142</v>
      </c>
      <c r="D118">
        <v>100472</v>
      </c>
      <c r="E118" t="s">
        <v>199</v>
      </c>
      <c r="F118">
        <v>0</v>
      </c>
      <c r="G118">
        <v>0</v>
      </c>
      <c r="H118">
        <v>0</v>
      </c>
      <c r="I118">
        <v>0</v>
      </c>
      <c r="J118">
        <v>0</v>
      </c>
      <c r="K118" t="s">
        <v>109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1:16" x14ac:dyDescent="0.35">
      <c r="A119" t="s">
        <v>108</v>
      </c>
      <c r="B119" t="s">
        <v>54</v>
      </c>
      <c r="C119" t="s">
        <v>142</v>
      </c>
      <c r="D119">
        <v>100472</v>
      </c>
      <c r="E119" t="s">
        <v>200</v>
      </c>
      <c r="F119">
        <v>0</v>
      </c>
      <c r="G119">
        <v>0</v>
      </c>
      <c r="H119">
        <v>0</v>
      </c>
      <c r="I119">
        <v>0</v>
      </c>
      <c r="J119">
        <v>0</v>
      </c>
      <c r="K119" t="s">
        <v>109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35">
      <c r="A120" t="s">
        <v>108</v>
      </c>
      <c r="B120" t="s">
        <v>54</v>
      </c>
      <c r="C120" t="s">
        <v>142</v>
      </c>
      <c r="D120">
        <v>100472</v>
      </c>
      <c r="E120" t="s">
        <v>201</v>
      </c>
      <c r="F120">
        <v>0</v>
      </c>
      <c r="G120">
        <v>0</v>
      </c>
      <c r="H120">
        <v>0</v>
      </c>
      <c r="I120">
        <v>0</v>
      </c>
      <c r="J120">
        <v>0</v>
      </c>
      <c r="K120" t="s">
        <v>109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1:16" x14ac:dyDescent="0.35">
      <c r="A121" t="s">
        <v>108</v>
      </c>
      <c r="B121" t="s">
        <v>54</v>
      </c>
      <c r="C121" t="s">
        <v>142</v>
      </c>
      <c r="D121">
        <v>100472</v>
      </c>
      <c r="E121" t="s">
        <v>202</v>
      </c>
      <c r="F121">
        <v>0</v>
      </c>
      <c r="G121">
        <v>0</v>
      </c>
      <c r="H121">
        <v>0</v>
      </c>
      <c r="I121">
        <v>0</v>
      </c>
      <c r="J121">
        <v>0</v>
      </c>
      <c r="K121" t="s">
        <v>109</v>
      </c>
      <c r="L121">
        <v>0</v>
      </c>
      <c r="M121">
        <v>0</v>
      </c>
      <c r="N121">
        <v>0</v>
      </c>
      <c r="O121">
        <v>0</v>
      </c>
      <c r="P121">
        <v>0</v>
      </c>
    </row>
    <row r="122" spans="1:16" x14ac:dyDescent="0.35">
      <c r="A122" t="s">
        <v>108</v>
      </c>
      <c r="B122" t="s">
        <v>54</v>
      </c>
      <c r="C122" t="s">
        <v>142</v>
      </c>
      <c r="D122">
        <v>100472</v>
      </c>
      <c r="E122" t="s">
        <v>203</v>
      </c>
      <c r="F122">
        <v>0</v>
      </c>
      <c r="G122">
        <v>0</v>
      </c>
      <c r="H122">
        <v>0</v>
      </c>
      <c r="I122">
        <v>0</v>
      </c>
      <c r="J122">
        <v>0</v>
      </c>
      <c r="K122" t="s">
        <v>109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1:16" x14ac:dyDescent="0.35">
      <c r="A123" t="s">
        <v>108</v>
      </c>
      <c r="B123" t="s">
        <v>54</v>
      </c>
      <c r="C123" t="s">
        <v>142</v>
      </c>
      <c r="D123">
        <v>100472</v>
      </c>
      <c r="E123" t="s">
        <v>204</v>
      </c>
      <c r="F123">
        <v>0</v>
      </c>
      <c r="G123">
        <v>0</v>
      </c>
      <c r="H123">
        <v>0</v>
      </c>
      <c r="I123">
        <v>0</v>
      </c>
      <c r="J123">
        <v>0</v>
      </c>
      <c r="K123" t="s">
        <v>109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1:16" x14ac:dyDescent="0.35">
      <c r="A124" t="s">
        <v>108</v>
      </c>
      <c r="B124" t="s">
        <v>54</v>
      </c>
      <c r="C124" t="s">
        <v>142</v>
      </c>
      <c r="D124">
        <v>100472</v>
      </c>
      <c r="E124" t="s">
        <v>205</v>
      </c>
      <c r="F124">
        <v>0</v>
      </c>
      <c r="G124">
        <v>0</v>
      </c>
      <c r="H124">
        <v>0</v>
      </c>
      <c r="I124">
        <v>0</v>
      </c>
      <c r="J124">
        <v>0</v>
      </c>
      <c r="K124" t="s">
        <v>109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1:16" x14ac:dyDescent="0.35">
      <c r="A125" t="s">
        <v>108</v>
      </c>
      <c r="B125" t="s">
        <v>54</v>
      </c>
      <c r="C125" t="s">
        <v>142</v>
      </c>
      <c r="D125">
        <v>100472</v>
      </c>
      <c r="E125" t="s">
        <v>206</v>
      </c>
      <c r="F125">
        <v>0</v>
      </c>
      <c r="G125">
        <v>0</v>
      </c>
      <c r="H125">
        <v>0</v>
      </c>
      <c r="I125">
        <v>0</v>
      </c>
      <c r="J125">
        <v>0</v>
      </c>
      <c r="K125" t="s">
        <v>109</v>
      </c>
      <c r="L125">
        <v>0</v>
      </c>
      <c r="M125">
        <v>0</v>
      </c>
      <c r="N125">
        <v>0</v>
      </c>
      <c r="O125">
        <v>0</v>
      </c>
      <c r="P125">
        <v>0</v>
      </c>
    </row>
    <row r="126" spans="1:16" x14ac:dyDescent="0.35">
      <c r="A126" t="s">
        <v>108</v>
      </c>
      <c r="B126" t="s">
        <v>54</v>
      </c>
      <c r="C126" t="s">
        <v>142</v>
      </c>
      <c r="D126">
        <v>100472</v>
      </c>
      <c r="E126" t="s">
        <v>207</v>
      </c>
      <c r="F126">
        <v>0</v>
      </c>
      <c r="G126">
        <v>0</v>
      </c>
      <c r="H126">
        <v>0</v>
      </c>
      <c r="I126">
        <v>0</v>
      </c>
      <c r="J126">
        <v>0</v>
      </c>
      <c r="K126" t="s">
        <v>109</v>
      </c>
      <c r="L126">
        <v>0</v>
      </c>
      <c r="M126">
        <v>0</v>
      </c>
      <c r="N126">
        <v>0</v>
      </c>
      <c r="O126">
        <v>0</v>
      </c>
      <c r="P126">
        <v>0</v>
      </c>
    </row>
    <row r="127" spans="1:16" x14ac:dyDescent="0.35">
      <c r="A127" t="s">
        <v>108</v>
      </c>
      <c r="B127" t="s">
        <v>54</v>
      </c>
      <c r="C127" t="s">
        <v>142</v>
      </c>
      <c r="D127">
        <v>100472</v>
      </c>
      <c r="E127" t="s">
        <v>208</v>
      </c>
      <c r="F127">
        <v>0</v>
      </c>
      <c r="G127">
        <v>0</v>
      </c>
      <c r="H127">
        <v>0</v>
      </c>
      <c r="I127">
        <v>0</v>
      </c>
      <c r="J127">
        <v>0</v>
      </c>
      <c r="K127" t="s">
        <v>109</v>
      </c>
      <c r="L127">
        <v>0</v>
      </c>
      <c r="M127">
        <v>0</v>
      </c>
      <c r="N127">
        <v>0</v>
      </c>
      <c r="O127">
        <v>0</v>
      </c>
      <c r="P127">
        <v>0</v>
      </c>
    </row>
    <row r="128" spans="1:16" x14ac:dyDescent="0.35">
      <c r="A128" t="s">
        <v>108</v>
      </c>
      <c r="B128" t="s">
        <v>54</v>
      </c>
      <c r="C128" t="s">
        <v>142</v>
      </c>
      <c r="D128">
        <v>100472</v>
      </c>
      <c r="E128" t="s">
        <v>209</v>
      </c>
      <c r="F128">
        <v>0</v>
      </c>
      <c r="G128">
        <v>0</v>
      </c>
      <c r="H128">
        <v>0</v>
      </c>
      <c r="I128">
        <v>0</v>
      </c>
      <c r="J128">
        <v>0</v>
      </c>
      <c r="K128" t="s">
        <v>109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1:16" x14ac:dyDescent="0.35">
      <c r="A129" t="s">
        <v>108</v>
      </c>
      <c r="B129" t="s">
        <v>54</v>
      </c>
      <c r="C129" t="s">
        <v>142</v>
      </c>
      <c r="D129">
        <v>100472</v>
      </c>
      <c r="E129" t="s">
        <v>210</v>
      </c>
      <c r="F129">
        <v>0</v>
      </c>
      <c r="G129">
        <v>0</v>
      </c>
      <c r="H129">
        <v>0</v>
      </c>
      <c r="I129">
        <v>0</v>
      </c>
      <c r="J129">
        <v>0</v>
      </c>
      <c r="K129" t="s">
        <v>109</v>
      </c>
      <c r="L129">
        <v>0</v>
      </c>
      <c r="M129">
        <v>0</v>
      </c>
      <c r="N129">
        <v>0</v>
      </c>
      <c r="O129">
        <v>0</v>
      </c>
      <c r="P129">
        <v>0</v>
      </c>
    </row>
    <row r="130" spans="1:16" x14ac:dyDescent="0.35">
      <c r="A130" t="s">
        <v>108</v>
      </c>
      <c r="B130" t="s">
        <v>54</v>
      </c>
      <c r="C130" t="s">
        <v>142</v>
      </c>
      <c r="D130">
        <v>100472</v>
      </c>
      <c r="E130" t="s">
        <v>211</v>
      </c>
      <c r="F130">
        <v>0</v>
      </c>
      <c r="G130">
        <v>0</v>
      </c>
      <c r="H130">
        <v>0</v>
      </c>
      <c r="I130">
        <v>0</v>
      </c>
      <c r="J130">
        <v>0</v>
      </c>
      <c r="K130" t="s">
        <v>109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1:16" x14ac:dyDescent="0.35">
      <c r="A131" t="s">
        <v>108</v>
      </c>
      <c r="B131" t="s">
        <v>54</v>
      </c>
      <c r="C131" t="s">
        <v>142</v>
      </c>
      <c r="D131">
        <v>100472</v>
      </c>
      <c r="E131" t="s">
        <v>212</v>
      </c>
      <c r="F131">
        <v>0</v>
      </c>
      <c r="G131">
        <v>0</v>
      </c>
      <c r="H131">
        <v>0</v>
      </c>
      <c r="I131">
        <v>0</v>
      </c>
      <c r="J131">
        <v>0</v>
      </c>
      <c r="K131" t="s">
        <v>109</v>
      </c>
      <c r="L131">
        <v>0</v>
      </c>
      <c r="M131">
        <v>0</v>
      </c>
      <c r="N131">
        <v>0</v>
      </c>
      <c r="O131">
        <v>0</v>
      </c>
      <c r="P131">
        <v>0</v>
      </c>
    </row>
    <row r="132" spans="1:16" x14ac:dyDescent="0.35">
      <c r="A132" t="s">
        <v>108</v>
      </c>
      <c r="B132" t="s">
        <v>54</v>
      </c>
      <c r="C132" t="s">
        <v>26</v>
      </c>
      <c r="D132">
        <v>100463</v>
      </c>
      <c r="F132">
        <v>7464</v>
      </c>
      <c r="G132">
        <v>42462</v>
      </c>
      <c r="H132">
        <v>30.684999999999999</v>
      </c>
      <c r="I132">
        <v>243.24588561186201</v>
      </c>
      <c r="J132">
        <v>1383.8031611536501</v>
      </c>
      <c r="K132" t="s">
        <v>109</v>
      </c>
      <c r="L132">
        <v>0</v>
      </c>
      <c r="M132">
        <v>0</v>
      </c>
      <c r="N132">
        <v>0</v>
      </c>
      <c r="O132">
        <v>-30.684999999999999</v>
      </c>
      <c r="P132">
        <v>-21.774166666666599</v>
      </c>
    </row>
    <row r="133" spans="1:16" x14ac:dyDescent="0.35">
      <c r="A133" t="s">
        <v>108</v>
      </c>
      <c r="B133" t="s">
        <v>54</v>
      </c>
      <c r="C133" t="s">
        <v>10</v>
      </c>
      <c r="D133">
        <v>100411</v>
      </c>
      <c r="F133">
        <v>7464</v>
      </c>
      <c r="G133">
        <v>42462</v>
      </c>
      <c r="H133">
        <v>53.562777777777697</v>
      </c>
      <c r="I133">
        <v>139.35050252559299</v>
      </c>
      <c r="J133">
        <v>792.75201476979203</v>
      </c>
      <c r="K133" t="s">
        <v>109</v>
      </c>
      <c r="L133">
        <v>361.25</v>
      </c>
      <c r="M133">
        <v>20.661591695501698</v>
      </c>
      <c r="N133">
        <v>38.574533571098399</v>
      </c>
      <c r="O133">
        <v>-32.901186082275999</v>
      </c>
      <c r="P133">
        <v>-30.4095799692426</v>
      </c>
    </row>
    <row r="134" spans="1:16" x14ac:dyDescent="0.35">
      <c r="A134" t="s">
        <v>108</v>
      </c>
      <c r="B134" t="s">
        <v>54</v>
      </c>
      <c r="C134" t="s">
        <v>11</v>
      </c>
      <c r="D134">
        <v>100410</v>
      </c>
      <c r="F134">
        <v>7464</v>
      </c>
      <c r="G134">
        <v>42462</v>
      </c>
      <c r="H134">
        <v>6.39472222222222</v>
      </c>
      <c r="I134">
        <v>1167.2125450675401</v>
      </c>
      <c r="J134">
        <v>6640.1633291342596</v>
      </c>
      <c r="K134" t="s">
        <v>109</v>
      </c>
      <c r="L134">
        <v>361.25</v>
      </c>
      <c r="M134">
        <v>20.661591695501698</v>
      </c>
      <c r="N134">
        <v>323.103818703819</v>
      </c>
      <c r="O134">
        <v>14.266869473279501</v>
      </c>
      <c r="P134">
        <v>8.9190311418685102</v>
      </c>
    </row>
    <row r="135" spans="1:16" x14ac:dyDescent="0.35">
      <c r="A135" t="s">
        <v>108</v>
      </c>
      <c r="B135" t="s">
        <v>54</v>
      </c>
      <c r="C135" t="s">
        <v>12</v>
      </c>
      <c r="D135">
        <v>100412</v>
      </c>
      <c r="F135">
        <v>0</v>
      </c>
      <c r="G135">
        <v>0</v>
      </c>
      <c r="H135">
        <v>0</v>
      </c>
      <c r="I135">
        <v>0</v>
      </c>
      <c r="J135">
        <v>0</v>
      </c>
      <c r="K135" t="s">
        <v>5</v>
      </c>
      <c r="L135">
        <v>0</v>
      </c>
      <c r="M135">
        <v>0.79625000000000001</v>
      </c>
      <c r="N135">
        <v>0</v>
      </c>
      <c r="O135">
        <v>0.79625000000000001</v>
      </c>
      <c r="P135">
        <v>0.53083333333333305</v>
      </c>
    </row>
    <row r="136" spans="1:16" x14ac:dyDescent="0.35">
      <c r="A136" t="s">
        <v>108</v>
      </c>
      <c r="B136" t="s">
        <v>54</v>
      </c>
      <c r="C136" t="s">
        <v>62</v>
      </c>
      <c r="D136">
        <v>100462</v>
      </c>
      <c r="F136">
        <v>7464</v>
      </c>
      <c r="G136">
        <v>42462</v>
      </c>
      <c r="H136">
        <v>6.56</v>
      </c>
      <c r="I136">
        <v>1137.80487804878</v>
      </c>
      <c r="J136">
        <v>6472.8658536585299</v>
      </c>
      <c r="K136" t="s">
        <v>109</v>
      </c>
      <c r="L136">
        <v>0</v>
      </c>
      <c r="M136">
        <v>0</v>
      </c>
      <c r="N136">
        <v>0</v>
      </c>
      <c r="O136">
        <v>-6.56</v>
      </c>
      <c r="P136">
        <v>-6.2933333333333303</v>
      </c>
    </row>
    <row r="137" spans="1:16" x14ac:dyDescent="0.35">
      <c r="A137" t="s">
        <v>108</v>
      </c>
      <c r="B137" t="s">
        <v>55</v>
      </c>
      <c r="C137" t="s">
        <v>63</v>
      </c>
      <c r="D137">
        <v>100464</v>
      </c>
      <c r="F137">
        <v>0</v>
      </c>
      <c r="G137">
        <v>0</v>
      </c>
      <c r="H137">
        <v>5.3788888888888797</v>
      </c>
      <c r="I137">
        <v>0</v>
      </c>
      <c r="J137">
        <v>0</v>
      </c>
      <c r="K137" t="s">
        <v>109</v>
      </c>
      <c r="L137">
        <v>0</v>
      </c>
      <c r="M137">
        <v>0</v>
      </c>
      <c r="N137">
        <v>0</v>
      </c>
      <c r="O137">
        <v>-5.3788888888888797</v>
      </c>
      <c r="P137">
        <v>-4.3788888888888797</v>
      </c>
    </row>
    <row r="138" spans="1:16" x14ac:dyDescent="0.35">
      <c r="A138" t="s">
        <v>108</v>
      </c>
      <c r="B138" t="s">
        <v>55</v>
      </c>
      <c r="C138" t="s">
        <v>16</v>
      </c>
      <c r="D138">
        <v>100465</v>
      </c>
      <c r="F138">
        <v>0</v>
      </c>
      <c r="G138">
        <v>0</v>
      </c>
      <c r="H138">
        <v>24.190833333333298</v>
      </c>
      <c r="I138">
        <v>0</v>
      </c>
      <c r="J138">
        <v>0</v>
      </c>
      <c r="K138" t="s">
        <v>109</v>
      </c>
      <c r="L138">
        <v>0</v>
      </c>
      <c r="M138">
        <v>0</v>
      </c>
      <c r="N138">
        <v>0</v>
      </c>
      <c r="O138">
        <v>-24.190833333333298</v>
      </c>
      <c r="P138">
        <v>-16.9791666666666</v>
      </c>
    </row>
    <row r="139" spans="1:16" x14ac:dyDescent="0.35">
      <c r="A139" t="s">
        <v>0</v>
      </c>
      <c r="B139" t="s">
        <v>0</v>
      </c>
      <c r="C139" t="s">
        <v>64</v>
      </c>
      <c r="D139">
        <v>100426</v>
      </c>
      <c r="F139">
        <v>0</v>
      </c>
      <c r="G139">
        <v>0</v>
      </c>
      <c r="H139">
        <v>0</v>
      </c>
      <c r="I139">
        <v>0</v>
      </c>
      <c r="J139">
        <v>0</v>
      </c>
      <c r="K139" t="s">
        <v>5</v>
      </c>
      <c r="L139">
        <v>0</v>
      </c>
      <c r="M139">
        <v>0.97749999999999904</v>
      </c>
      <c r="N139">
        <v>0</v>
      </c>
      <c r="O139">
        <v>0.97749999999999904</v>
      </c>
      <c r="P139">
        <v>0.65166666666666595</v>
      </c>
    </row>
    <row r="140" spans="1:16" x14ac:dyDescent="0.35">
      <c r="A140" t="s">
        <v>56</v>
      </c>
      <c r="B140" t="s">
        <v>56</v>
      </c>
      <c r="C140" t="s">
        <v>65</v>
      </c>
      <c r="D140">
        <v>100427</v>
      </c>
      <c r="F140">
        <v>0</v>
      </c>
      <c r="G140">
        <v>0</v>
      </c>
      <c r="H140">
        <v>8.1738888888888894</v>
      </c>
      <c r="I140">
        <v>0</v>
      </c>
      <c r="J140">
        <v>0</v>
      </c>
      <c r="K140" t="s">
        <v>5</v>
      </c>
      <c r="L140">
        <v>0</v>
      </c>
      <c r="M140">
        <v>1.4225000000000001</v>
      </c>
      <c r="N140">
        <v>17.402976959151701</v>
      </c>
      <c r="O140">
        <v>-6.7513888888888802</v>
      </c>
      <c r="P140">
        <v>-4.0405555555555503</v>
      </c>
    </row>
    <row r="141" spans="1:16" x14ac:dyDescent="0.35">
      <c r="A141" t="s">
        <v>56</v>
      </c>
      <c r="B141" t="s">
        <v>56</v>
      </c>
      <c r="C141" t="s">
        <v>66</v>
      </c>
      <c r="D141">
        <v>100428</v>
      </c>
      <c r="F141">
        <v>0</v>
      </c>
      <c r="G141">
        <v>0</v>
      </c>
      <c r="H141">
        <v>14.1166666666666</v>
      </c>
      <c r="I141">
        <v>0</v>
      </c>
      <c r="J141">
        <v>0</v>
      </c>
      <c r="K141" t="s">
        <v>5</v>
      </c>
      <c r="L141">
        <v>0</v>
      </c>
      <c r="M141">
        <v>7.3749999999999996E-2</v>
      </c>
      <c r="N141">
        <v>0.52243211334120399</v>
      </c>
      <c r="O141">
        <v>-14.042916666666599</v>
      </c>
      <c r="P141">
        <v>-10.9508333333333</v>
      </c>
    </row>
    <row r="142" spans="1:16" x14ac:dyDescent="0.35">
      <c r="A142" t="s">
        <v>56</v>
      </c>
      <c r="B142" t="s">
        <v>56</v>
      </c>
      <c r="C142" t="s">
        <v>31</v>
      </c>
      <c r="D142">
        <v>100429</v>
      </c>
      <c r="F142">
        <v>0</v>
      </c>
      <c r="G142">
        <v>0</v>
      </c>
      <c r="H142">
        <v>27.311111111111099</v>
      </c>
      <c r="I142">
        <v>0</v>
      </c>
      <c r="J142">
        <v>0</v>
      </c>
      <c r="K142" t="s">
        <v>5</v>
      </c>
      <c r="L142">
        <v>0</v>
      </c>
      <c r="M142">
        <v>0.85499999999999998</v>
      </c>
      <c r="N142">
        <v>3.1305939788445798</v>
      </c>
      <c r="O142">
        <v>-26.456111111111099</v>
      </c>
      <c r="P142">
        <v>-22.577222222222201</v>
      </c>
    </row>
    <row r="143" spans="1:16" x14ac:dyDescent="0.35">
      <c r="A143" t="s">
        <v>56</v>
      </c>
      <c r="B143" t="s">
        <v>56</v>
      </c>
      <c r="C143" t="s">
        <v>67</v>
      </c>
      <c r="D143">
        <v>100466</v>
      </c>
      <c r="F143">
        <v>0</v>
      </c>
      <c r="G143">
        <v>0</v>
      </c>
      <c r="H143">
        <v>3</v>
      </c>
      <c r="I143">
        <v>0</v>
      </c>
      <c r="J143">
        <v>0</v>
      </c>
      <c r="K143" t="s">
        <v>109</v>
      </c>
      <c r="L143">
        <v>0</v>
      </c>
      <c r="M143">
        <v>0</v>
      </c>
      <c r="N143">
        <v>0</v>
      </c>
      <c r="O143">
        <v>-3</v>
      </c>
      <c r="P143">
        <v>-2</v>
      </c>
    </row>
    <row r="144" spans="1:16" x14ac:dyDescent="0.35">
      <c r="A144" t="s">
        <v>57</v>
      </c>
      <c r="B144" t="s">
        <v>57</v>
      </c>
      <c r="C144" t="s">
        <v>68</v>
      </c>
      <c r="D144">
        <v>100467</v>
      </c>
      <c r="F144">
        <v>0</v>
      </c>
      <c r="G144">
        <v>0</v>
      </c>
      <c r="H144">
        <v>0</v>
      </c>
      <c r="I144">
        <v>0</v>
      </c>
      <c r="J144">
        <v>0</v>
      </c>
      <c r="K144" t="s">
        <v>109</v>
      </c>
      <c r="L144">
        <v>0</v>
      </c>
      <c r="M144">
        <v>0</v>
      </c>
      <c r="N144">
        <v>0</v>
      </c>
      <c r="O144">
        <v>0</v>
      </c>
    </row>
    <row r="145" spans="1:16" x14ac:dyDescent="0.35">
      <c r="A145" t="s">
        <v>57</v>
      </c>
      <c r="B145" t="s">
        <v>57</v>
      </c>
      <c r="C145" t="s">
        <v>69</v>
      </c>
      <c r="D145">
        <v>100468</v>
      </c>
      <c r="F145">
        <v>0</v>
      </c>
      <c r="G145">
        <v>0</v>
      </c>
      <c r="H145">
        <v>0</v>
      </c>
      <c r="I145">
        <v>0</v>
      </c>
      <c r="J145">
        <v>0</v>
      </c>
      <c r="K145" t="s">
        <v>109</v>
      </c>
      <c r="L145">
        <v>0</v>
      </c>
      <c r="M145">
        <v>0</v>
      </c>
      <c r="N145">
        <v>0</v>
      </c>
      <c r="O145">
        <v>0</v>
      </c>
      <c r="P145">
        <v>0</v>
      </c>
    </row>
    <row r="146" spans="1:16" x14ac:dyDescent="0.35">
      <c r="A146" t="s">
        <v>57</v>
      </c>
      <c r="B146" t="s">
        <v>57</v>
      </c>
      <c r="C146" t="s">
        <v>70</v>
      </c>
      <c r="D146">
        <v>100469</v>
      </c>
      <c r="F146">
        <v>0</v>
      </c>
      <c r="G146">
        <v>0</v>
      </c>
      <c r="H146">
        <v>1.4666666666666599</v>
      </c>
      <c r="I146">
        <v>0</v>
      </c>
      <c r="J146">
        <v>0</v>
      </c>
      <c r="K146" t="s">
        <v>109</v>
      </c>
      <c r="L146">
        <v>0</v>
      </c>
      <c r="M146">
        <v>0</v>
      </c>
      <c r="N146">
        <v>0</v>
      </c>
      <c r="O146">
        <v>-1.4666666666666599</v>
      </c>
      <c r="P146">
        <v>-1.4666666666666599</v>
      </c>
    </row>
    <row r="147" spans="1:16" x14ac:dyDescent="0.35">
      <c r="A147" t="s">
        <v>58</v>
      </c>
      <c r="B147" t="s">
        <v>58</v>
      </c>
      <c r="C147" t="s">
        <v>71</v>
      </c>
      <c r="D147">
        <v>100453</v>
      </c>
      <c r="F147">
        <v>0</v>
      </c>
      <c r="G147">
        <v>0</v>
      </c>
      <c r="H147">
        <v>1.5</v>
      </c>
      <c r="I147">
        <v>0</v>
      </c>
      <c r="J147">
        <v>0</v>
      </c>
      <c r="K147" t="s">
        <v>109</v>
      </c>
      <c r="L147">
        <v>0</v>
      </c>
      <c r="M147">
        <v>0</v>
      </c>
      <c r="N147">
        <v>0</v>
      </c>
      <c r="O147">
        <v>-1.5</v>
      </c>
      <c r="P147">
        <v>-1.5</v>
      </c>
    </row>
    <row r="148" spans="1:16" x14ac:dyDescent="0.35">
      <c r="A148" t="s">
        <v>58</v>
      </c>
      <c r="B148" t="s">
        <v>58</v>
      </c>
      <c r="C148" t="s">
        <v>72</v>
      </c>
      <c r="D148">
        <v>100454</v>
      </c>
      <c r="F148">
        <v>0</v>
      </c>
      <c r="G148">
        <v>0</v>
      </c>
      <c r="H148">
        <v>11.9602777777777</v>
      </c>
      <c r="I148">
        <v>0</v>
      </c>
      <c r="J148">
        <v>0</v>
      </c>
      <c r="K148" t="s">
        <v>109</v>
      </c>
      <c r="L148">
        <v>0</v>
      </c>
      <c r="M148">
        <v>0</v>
      </c>
      <c r="N148">
        <v>0</v>
      </c>
      <c r="O148">
        <v>-11.9602777777777</v>
      </c>
      <c r="P148">
        <v>-7.9602777777777698</v>
      </c>
    </row>
    <row r="149" spans="1:16" x14ac:dyDescent="0.35">
      <c r="A149" t="s">
        <v>59</v>
      </c>
      <c r="B149" t="s">
        <v>59</v>
      </c>
      <c r="C149" t="s">
        <v>73</v>
      </c>
      <c r="D149">
        <v>100436</v>
      </c>
      <c r="F149">
        <v>0</v>
      </c>
      <c r="G149">
        <v>0</v>
      </c>
      <c r="H149">
        <v>6</v>
      </c>
      <c r="I149">
        <v>0</v>
      </c>
      <c r="J149">
        <v>0</v>
      </c>
      <c r="K149" t="s">
        <v>109</v>
      </c>
      <c r="L149">
        <v>0</v>
      </c>
      <c r="M149">
        <v>0</v>
      </c>
      <c r="N149">
        <v>0</v>
      </c>
      <c r="O149">
        <v>-6</v>
      </c>
      <c r="P149">
        <v>-4</v>
      </c>
    </row>
    <row r="150" spans="1:16" x14ac:dyDescent="0.35">
      <c r="A150" t="s">
        <v>59</v>
      </c>
      <c r="B150" t="s">
        <v>59</v>
      </c>
      <c r="C150" t="s">
        <v>74</v>
      </c>
      <c r="D150">
        <v>100470</v>
      </c>
      <c r="F150">
        <v>0</v>
      </c>
      <c r="G150">
        <v>0</v>
      </c>
      <c r="H150">
        <v>0.390277777777777</v>
      </c>
      <c r="I150">
        <v>0</v>
      </c>
      <c r="J150">
        <v>0</v>
      </c>
      <c r="K150" t="s">
        <v>109</v>
      </c>
      <c r="L150">
        <v>0</v>
      </c>
      <c r="M150">
        <v>0</v>
      </c>
      <c r="N150">
        <v>0</v>
      </c>
      <c r="O150">
        <v>-0.390277777777777</v>
      </c>
      <c r="P150">
        <v>0</v>
      </c>
    </row>
    <row r="151" spans="1:16" x14ac:dyDescent="0.35">
      <c r="A151" t="s">
        <v>59</v>
      </c>
      <c r="B151" t="s">
        <v>59</v>
      </c>
      <c r="C151" t="s">
        <v>75</v>
      </c>
      <c r="D151">
        <v>100439</v>
      </c>
      <c r="F151">
        <v>0</v>
      </c>
      <c r="G151">
        <v>0</v>
      </c>
      <c r="H151">
        <v>0</v>
      </c>
      <c r="I151">
        <v>0</v>
      </c>
      <c r="J151">
        <v>0</v>
      </c>
      <c r="K151" t="s">
        <v>109</v>
      </c>
      <c r="L151">
        <v>0</v>
      </c>
      <c r="M151">
        <v>0</v>
      </c>
      <c r="N151">
        <v>0</v>
      </c>
      <c r="O151">
        <v>0</v>
      </c>
      <c r="P151">
        <v>0</v>
      </c>
    </row>
    <row r="152" spans="1:16" x14ac:dyDescent="0.35">
      <c r="A152" t="s">
        <v>213</v>
      </c>
      <c r="B152" t="s">
        <v>213</v>
      </c>
      <c r="C152" t="s">
        <v>214</v>
      </c>
      <c r="D152">
        <v>100471</v>
      </c>
      <c r="E152" t="s">
        <v>143</v>
      </c>
      <c r="F152">
        <v>0</v>
      </c>
      <c r="G152">
        <v>0</v>
      </c>
      <c r="H152">
        <v>0</v>
      </c>
      <c r="I152">
        <v>0</v>
      </c>
      <c r="J152">
        <v>0</v>
      </c>
      <c r="K152" t="s">
        <v>109</v>
      </c>
      <c r="L152">
        <v>0</v>
      </c>
      <c r="M152">
        <v>0</v>
      </c>
      <c r="N152">
        <v>0</v>
      </c>
      <c r="O152">
        <v>0</v>
      </c>
      <c r="P152">
        <v>0</v>
      </c>
    </row>
    <row r="153" spans="1:16" x14ac:dyDescent="0.35">
      <c r="A153" t="s">
        <v>213</v>
      </c>
      <c r="B153" t="s">
        <v>213</v>
      </c>
      <c r="C153" t="s">
        <v>214</v>
      </c>
      <c r="D153">
        <v>100471</v>
      </c>
      <c r="E153" t="s">
        <v>144</v>
      </c>
      <c r="F153">
        <v>0</v>
      </c>
      <c r="G153">
        <v>0</v>
      </c>
      <c r="H153">
        <v>0</v>
      </c>
      <c r="I153">
        <v>0</v>
      </c>
      <c r="J153">
        <v>0</v>
      </c>
      <c r="K153" t="s">
        <v>109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1:16" x14ac:dyDescent="0.35">
      <c r="A154" t="s">
        <v>213</v>
      </c>
      <c r="B154" t="s">
        <v>213</v>
      </c>
      <c r="C154" t="s">
        <v>214</v>
      </c>
      <c r="D154">
        <v>100471</v>
      </c>
      <c r="E154" t="s">
        <v>145</v>
      </c>
      <c r="F154">
        <v>0</v>
      </c>
      <c r="G154">
        <v>0</v>
      </c>
      <c r="H154">
        <v>0</v>
      </c>
      <c r="I154">
        <v>0</v>
      </c>
      <c r="J154">
        <v>0</v>
      </c>
      <c r="K154" t="s">
        <v>109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1:16" x14ac:dyDescent="0.35">
      <c r="A155" t="s">
        <v>213</v>
      </c>
      <c r="B155" t="s">
        <v>213</v>
      </c>
      <c r="C155" t="s">
        <v>214</v>
      </c>
      <c r="D155">
        <v>100471</v>
      </c>
      <c r="E155" t="s">
        <v>146</v>
      </c>
      <c r="F155">
        <v>0</v>
      </c>
      <c r="G155">
        <v>0</v>
      </c>
      <c r="H155">
        <v>0</v>
      </c>
      <c r="I155">
        <v>0</v>
      </c>
      <c r="J155">
        <v>0</v>
      </c>
      <c r="K155" t="s">
        <v>109</v>
      </c>
      <c r="L155">
        <v>0</v>
      </c>
      <c r="M155">
        <v>0</v>
      </c>
      <c r="N155">
        <v>0</v>
      </c>
      <c r="O155">
        <v>0</v>
      </c>
      <c r="P155">
        <v>0</v>
      </c>
    </row>
    <row r="156" spans="1:16" x14ac:dyDescent="0.35">
      <c r="A156" t="s">
        <v>213</v>
      </c>
      <c r="B156" t="s">
        <v>213</v>
      </c>
      <c r="C156" t="s">
        <v>214</v>
      </c>
      <c r="D156">
        <v>100471</v>
      </c>
      <c r="E156" t="s">
        <v>147</v>
      </c>
      <c r="F156">
        <v>0</v>
      </c>
      <c r="G156">
        <v>0</v>
      </c>
      <c r="H156">
        <v>0</v>
      </c>
      <c r="I156">
        <v>0</v>
      </c>
      <c r="J156">
        <v>0</v>
      </c>
      <c r="K156" t="s">
        <v>109</v>
      </c>
      <c r="L156">
        <v>0</v>
      </c>
      <c r="M156">
        <v>0</v>
      </c>
      <c r="N156">
        <v>0</v>
      </c>
      <c r="O156">
        <v>0</v>
      </c>
      <c r="P156">
        <v>0</v>
      </c>
    </row>
    <row r="157" spans="1:16" x14ac:dyDescent="0.35">
      <c r="A157" t="s">
        <v>213</v>
      </c>
      <c r="B157" t="s">
        <v>213</v>
      </c>
      <c r="C157" t="s">
        <v>214</v>
      </c>
      <c r="D157">
        <v>100471</v>
      </c>
      <c r="E157" t="s">
        <v>148</v>
      </c>
      <c r="F157">
        <v>0</v>
      </c>
      <c r="G157">
        <v>0</v>
      </c>
      <c r="H157">
        <v>0</v>
      </c>
      <c r="I157">
        <v>0</v>
      </c>
      <c r="J157">
        <v>0</v>
      </c>
      <c r="K157" t="s">
        <v>109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1:16" x14ac:dyDescent="0.35">
      <c r="A158" t="s">
        <v>213</v>
      </c>
      <c r="B158" t="s">
        <v>213</v>
      </c>
      <c r="C158" t="s">
        <v>214</v>
      </c>
      <c r="D158">
        <v>100471</v>
      </c>
      <c r="E158" t="s">
        <v>149</v>
      </c>
      <c r="F158">
        <v>0</v>
      </c>
      <c r="G158">
        <v>0</v>
      </c>
      <c r="H158">
        <v>0</v>
      </c>
      <c r="I158">
        <v>0</v>
      </c>
      <c r="J158">
        <v>0</v>
      </c>
      <c r="K158" t="s">
        <v>109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1:16" x14ac:dyDescent="0.35">
      <c r="A159" t="s">
        <v>213</v>
      </c>
      <c r="B159" t="s">
        <v>213</v>
      </c>
      <c r="C159" t="s">
        <v>214</v>
      </c>
      <c r="D159">
        <v>100471</v>
      </c>
      <c r="E159" t="s">
        <v>150</v>
      </c>
      <c r="F159">
        <v>0</v>
      </c>
      <c r="G159">
        <v>0</v>
      </c>
      <c r="H159">
        <v>0</v>
      </c>
      <c r="I159">
        <v>0</v>
      </c>
      <c r="J159">
        <v>0</v>
      </c>
      <c r="K159" t="s">
        <v>109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1:16" x14ac:dyDescent="0.35">
      <c r="A160" t="s">
        <v>213</v>
      </c>
      <c r="B160" t="s">
        <v>213</v>
      </c>
      <c r="C160" t="s">
        <v>214</v>
      </c>
      <c r="D160">
        <v>100471</v>
      </c>
      <c r="E160" t="s">
        <v>151</v>
      </c>
      <c r="F160">
        <v>0</v>
      </c>
      <c r="G160">
        <v>0</v>
      </c>
      <c r="H160">
        <v>0</v>
      </c>
      <c r="I160">
        <v>0</v>
      </c>
      <c r="J160">
        <v>0</v>
      </c>
      <c r="K160" t="s">
        <v>109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1:16" x14ac:dyDescent="0.35">
      <c r="A161" t="s">
        <v>213</v>
      </c>
      <c r="B161" t="s">
        <v>213</v>
      </c>
      <c r="C161" t="s">
        <v>214</v>
      </c>
      <c r="D161">
        <v>100471</v>
      </c>
      <c r="E161" t="s">
        <v>152</v>
      </c>
      <c r="F161">
        <v>0</v>
      </c>
      <c r="G161">
        <v>0</v>
      </c>
      <c r="H161">
        <v>0</v>
      </c>
      <c r="I161">
        <v>0</v>
      </c>
      <c r="J161">
        <v>0</v>
      </c>
      <c r="K161" t="s">
        <v>109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1:16" x14ac:dyDescent="0.35">
      <c r="A162" t="s">
        <v>213</v>
      </c>
      <c r="B162" t="s">
        <v>213</v>
      </c>
      <c r="C162" t="s">
        <v>214</v>
      </c>
      <c r="D162">
        <v>100471</v>
      </c>
      <c r="E162" t="s">
        <v>153</v>
      </c>
      <c r="F162">
        <v>0</v>
      </c>
      <c r="G162">
        <v>0</v>
      </c>
      <c r="H162">
        <v>0</v>
      </c>
      <c r="I162">
        <v>0</v>
      </c>
      <c r="J162">
        <v>0</v>
      </c>
      <c r="K162" t="s">
        <v>109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1:16" x14ac:dyDescent="0.35">
      <c r="A163" t="s">
        <v>213</v>
      </c>
      <c r="B163" t="s">
        <v>213</v>
      </c>
      <c r="C163" t="s">
        <v>214</v>
      </c>
      <c r="D163">
        <v>100471</v>
      </c>
      <c r="E163" t="s">
        <v>154</v>
      </c>
      <c r="F163">
        <v>0</v>
      </c>
      <c r="G163">
        <v>0</v>
      </c>
      <c r="H163">
        <v>0</v>
      </c>
      <c r="I163">
        <v>0</v>
      </c>
      <c r="J163">
        <v>0</v>
      </c>
      <c r="K163" t="s">
        <v>109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1:16" x14ac:dyDescent="0.35">
      <c r="A164" t="s">
        <v>213</v>
      </c>
      <c r="B164" t="s">
        <v>213</v>
      </c>
      <c r="C164" t="s">
        <v>214</v>
      </c>
      <c r="D164">
        <v>100471</v>
      </c>
      <c r="E164" t="s">
        <v>155</v>
      </c>
      <c r="F164">
        <v>0</v>
      </c>
      <c r="G164">
        <v>0</v>
      </c>
      <c r="H164">
        <v>0</v>
      </c>
      <c r="I164">
        <v>0</v>
      </c>
      <c r="J164">
        <v>0</v>
      </c>
      <c r="K164" t="s">
        <v>109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1:16" x14ac:dyDescent="0.35">
      <c r="A165" t="s">
        <v>213</v>
      </c>
      <c r="B165" t="s">
        <v>213</v>
      </c>
      <c r="C165" t="s">
        <v>214</v>
      </c>
      <c r="D165">
        <v>100471</v>
      </c>
      <c r="E165" t="s">
        <v>156</v>
      </c>
      <c r="F165">
        <v>0</v>
      </c>
      <c r="G165">
        <v>0</v>
      </c>
      <c r="H165">
        <v>0</v>
      </c>
      <c r="I165">
        <v>0</v>
      </c>
      <c r="J165">
        <v>0</v>
      </c>
      <c r="K165" t="s">
        <v>109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1:16" x14ac:dyDescent="0.35">
      <c r="A166" t="s">
        <v>213</v>
      </c>
      <c r="B166" t="s">
        <v>213</v>
      </c>
      <c r="C166" t="s">
        <v>214</v>
      </c>
      <c r="D166">
        <v>100471</v>
      </c>
      <c r="E166" t="s">
        <v>157</v>
      </c>
      <c r="F166">
        <v>0</v>
      </c>
      <c r="G166">
        <v>0</v>
      </c>
      <c r="H166">
        <v>0</v>
      </c>
      <c r="I166">
        <v>0</v>
      </c>
      <c r="J166">
        <v>0</v>
      </c>
      <c r="K166" t="s">
        <v>109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1:16" x14ac:dyDescent="0.35">
      <c r="A167" t="s">
        <v>213</v>
      </c>
      <c r="B167" t="s">
        <v>213</v>
      </c>
      <c r="C167" t="s">
        <v>214</v>
      </c>
      <c r="D167">
        <v>100471</v>
      </c>
      <c r="E167" t="s">
        <v>158</v>
      </c>
      <c r="F167">
        <v>0</v>
      </c>
      <c r="G167">
        <v>0</v>
      </c>
      <c r="H167">
        <v>0</v>
      </c>
      <c r="I167">
        <v>0</v>
      </c>
      <c r="J167">
        <v>0</v>
      </c>
      <c r="K167" t="s">
        <v>109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1:16" x14ac:dyDescent="0.35">
      <c r="A168" t="s">
        <v>213</v>
      </c>
      <c r="B168" t="s">
        <v>213</v>
      </c>
      <c r="C168" t="s">
        <v>214</v>
      </c>
      <c r="D168">
        <v>100471</v>
      </c>
      <c r="E168" t="s">
        <v>159</v>
      </c>
      <c r="F168">
        <v>0</v>
      </c>
      <c r="G168">
        <v>0</v>
      </c>
      <c r="H168">
        <v>0</v>
      </c>
      <c r="I168">
        <v>0</v>
      </c>
      <c r="J168">
        <v>0</v>
      </c>
      <c r="K168" t="s">
        <v>109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1:16" x14ac:dyDescent="0.35">
      <c r="A169" t="s">
        <v>213</v>
      </c>
      <c r="B169" t="s">
        <v>213</v>
      </c>
      <c r="C169" t="s">
        <v>214</v>
      </c>
      <c r="D169">
        <v>100471</v>
      </c>
      <c r="E169" t="s">
        <v>160</v>
      </c>
      <c r="F169">
        <v>0</v>
      </c>
      <c r="G169">
        <v>0</v>
      </c>
      <c r="H169">
        <v>0</v>
      </c>
      <c r="I169">
        <v>0</v>
      </c>
      <c r="J169">
        <v>0</v>
      </c>
      <c r="K169" t="s">
        <v>109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1:16" x14ac:dyDescent="0.35">
      <c r="A170" t="s">
        <v>213</v>
      </c>
      <c r="B170" t="s">
        <v>213</v>
      </c>
      <c r="C170" t="s">
        <v>214</v>
      </c>
      <c r="D170">
        <v>100471</v>
      </c>
      <c r="E170" t="s">
        <v>161</v>
      </c>
      <c r="F170">
        <v>0</v>
      </c>
      <c r="G170">
        <v>0</v>
      </c>
      <c r="H170">
        <v>0</v>
      </c>
      <c r="I170">
        <v>0</v>
      </c>
      <c r="J170">
        <v>0</v>
      </c>
      <c r="K170" t="s">
        <v>109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1:16" x14ac:dyDescent="0.35">
      <c r="A171" t="s">
        <v>213</v>
      </c>
      <c r="B171" t="s">
        <v>213</v>
      </c>
      <c r="C171" t="s">
        <v>214</v>
      </c>
      <c r="D171">
        <v>100471</v>
      </c>
      <c r="E171" t="s">
        <v>162</v>
      </c>
      <c r="F171">
        <v>0</v>
      </c>
      <c r="G171">
        <v>0</v>
      </c>
      <c r="H171">
        <v>0</v>
      </c>
      <c r="I171">
        <v>0</v>
      </c>
      <c r="J171">
        <v>0</v>
      </c>
      <c r="K171" t="s">
        <v>109</v>
      </c>
      <c r="L171">
        <v>0</v>
      </c>
      <c r="M171">
        <v>0</v>
      </c>
      <c r="N171">
        <v>0</v>
      </c>
      <c r="O171">
        <v>0</v>
      </c>
      <c r="P171">
        <v>0</v>
      </c>
    </row>
    <row r="172" spans="1:16" x14ac:dyDescent="0.35">
      <c r="A172" t="s">
        <v>213</v>
      </c>
      <c r="B172" t="s">
        <v>213</v>
      </c>
      <c r="C172" t="s">
        <v>214</v>
      </c>
      <c r="D172">
        <v>100471</v>
      </c>
      <c r="E172" t="s">
        <v>163</v>
      </c>
      <c r="F172">
        <v>0</v>
      </c>
      <c r="G172">
        <v>0</v>
      </c>
      <c r="H172">
        <v>0</v>
      </c>
      <c r="I172">
        <v>0</v>
      </c>
      <c r="J172">
        <v>0</v>
      </c>
      <c r="K172" t="s">
        <v>109</v>
      </c>
      <c r="L172">
        <v>0</v>
      </c>
      <c r="M172">
        <v>0</v>
      </c>
      <c r="N172">
        <v>0</v>
      </c>
      <c r="O172">
        <v>0</v>
      </c>
      <c r="P172">
        <v>0</v>
      </c>
    </row>
    <row r="173" spans="1:16" x14ac:dyDescent="0.35">
      <c r="A173" t="s">
        <v>213</v>
      </c>
      <c r="B173" t="s">
        <v>213</v>
      </c>
      <c r="C173" t="s">
        <v>214</v>
      </c>
      <c r="D173">
        <v>100471</v>
      </c>
      <c r="E173" t="s">
        <v>164</v>
      </c>
      <c r="F173">
        <v>0</v>
      </c>
      <c r="G173">
        <v>0</v>
      </c>
      <c r="H173">
        <v>0</v>
      </c>
      <c r="I173">
        <v>0</v>
      </c>
      <c r="J173">
        <v>0</v>
      </c>
      <c r="K173" t="s">
        <v>109</v>
      </c>
      <c r="L173">
        <v>0</v>
      </c>
      <c r="M173">
        <v>0</v>
      </c>
      <c r="N173">
        <v>0</v>
      </c>
      <c r="O173">
        <v>0</v>
      </c>
      <c r="P173">
        <v>0</v>
      </c>
    </row>
    <row r="174" spans="1:16" x14ac:dyDescent="0.35">
      <c r="A174" t="s">
        <v>213</v>
      </c>
      <c r="B174" t="s">
        <v>213</v>
      </c>
      <c r="C174" t="s">
        <v>214</v>
      </c>
      <c r="D174">
        <v>100471</v>
      </c>
      <c r="E174" t="s">
        <v>165</v>
      </c>
      <c r="F174">
        <v>0</v>
      </c>
      <c r="G174">
        <v>0</v>
      </c>
      <c r="H174">
        <v>0</v>
      </c>
      <c r="I174">
        <v>0</v>
      </c>
      <c r="J174">
        <v>0</v>
      </c>
      <c r="K174" t="s">
        <v>109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1:16" x14ac:dyDescent="0.35">
      <c r="A175" t="s">
        <v>213</v>
      </c>
      <c r="B175" t="s">
        <v>213</v>
      </c>
      <c r="C175" t="s">
        <v>214</v>
      </c>
      <c r="D175">
        <v>100471</v>
      </c>
      <c r="E175" t="s">
        <v>166</v>
      </c>
      <c r="F175">
        <v>0</v>
      </c>
      <c r="G175">
        <v>0</v>
      </c>
      <c r="H175">
        <v>0</v>
      </c>
      <c r="I175">
        <v>0</v>
      </c>
      <c r="J175">
        <v>0</v>
      </c>
      <c r="K175" t="s">
        <v>109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1:16" x14ac:dyDescent="0.35">
      <c r="A176" t="s">
        <v>213</v>
      </c>
      <c r="B176" t="s">
        <v>213</v>
      </c>
      <c r="C176" t="s">
        <v>214</v>
      </c>
      <c r="D176">
        <v>100471</v>
      </c>
      <c r="E176" t="s">
        <v>167</v>
      </c>
      <c r="F176">
        <v>0</v>
      </c>
      <c r="G176">
        <v>0</v>
      </c>
      <c r="H176">
        <v>0</v>
      </c>
      <c r="I176">
        <v>0</v>
      </c>
      <c r="J176">
        <v>0</v>
      </c>
      <c r="K176" t="s">
        <v>109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1:16" x14ac:dyDescent="0.35">
      <c r="A177" t="s">
        <v>213</v>
      </c>
      <c r="B177" t="s">
        <v>213</v>
      </c>
      <c r="C177" t="s">
        <v>214</v>
      </c>
      <c r="D177">
        <v>100471</v>
      </c>
      <c r="E177" t="s">
        <v>168</v>
      </c>
      <c r="F177">
        <v>0</v>
      </c>
      <c r="G177">
        <v>0</v>
      </c>
      <c r="H177">
        <v>0</v>
      </c>
      <c r="I177">
        <v>0</v>
      </c>
      <c r="J177">
        <v>0</v>
      </c>
      <c r="K177" t="s">
        <v>109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1:16" x14ac:dyDescent="0.35">
      <c r="A178" t="s">
        <v>213</v>
      </c>
      <c r="B178" t="s">
        <v>213</v>
      </c>
      <c r="C178" t="s">
        <v>214</v>
      </c>
      <c r="D178">
        <v>100471</v>
      </c>
      <c r="E178" t="s">
        <v>169</v>
      </c>
      <c r="F178">
        <v>0</v>
      </c>
      <c r="G178">
        <v>0</v>
      </c>
      <c r="H178">
        <v>0</v>
      </c>
      <c r="I178">
        <v>0</v>
      </c>
      <c r="J178">
        <v>0</v>
      </c>
      <c r="K178" t="s">
        <v>109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1:16" x14ac:dyDescent="0.35">
      <c r="A179" t="s">
        <v>213</v>
      </c>
      <c r="B179" t="s">
        <v>213</v>
      </c>
      <c r="C179" t="s">
        <v>214</v>
      </c>
      <c r="D179">
        <v>100471</v>
      </c>
      <c r="E179" t="s">
        <v>170</v>
      </c>
      <c r="F179">
        <v>0</v>
      </c>
      <c r="G179">
        <v>0</v>
      </c>
      <c r="H179">
        <v>0</v>
      </c>
      <c r="I179">
        <v>0</v>
      </c>
      <c r="J179">
        <v>0</v>
      </c>
      <c r="K179" t="s">
        <v>109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1:16" x14ac:dyDescent="0.35">
      <c r="A180" t="s">
        <v>213</v>
      </c>
      <c r="B180" t="s">
        <v>213</v>
      </c>
      <c r="C180" t="s">
        <v>214</v>
      </c>
      <c r="D180">
        <v>100471</v>
      </c>
      <c r="E180" t="s">
        <v>171</v>
      </c>
      <c r="F180">
        <v>0</v>
      </c>
      <c r="G180">
        <v>0</v>
      </c>
      <c r="H180">
        <v>0</v>
      </c>
      <c r="I180">
        <v>0</v>
      </c>
      <c r="J180">
        <v>0</v>
      </c>
      <c r="K180" t="s">
        <v>109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1:16" x14ac:dyDescent="0.35">
      <c r="A181" t="s">
        <v>213</v>
      </c>
      <c r="B181" t="s">
        <v>213</v>
      </c>
      <c r="C181" t="s">
        <v>214</v>
      </c>
      <c r="D181">
        <v>100471</v>
      </c>
      <c r="E181" t="s">
        <v>172</v>
      </c>
      <c r="F181">
        <v>0</v>
      </c>
      <c r="G181">
        <v>0</v>
      </c>
      <c r="H181">
        <v>0</v>
      </c>
      <c r="I181">
        <v>0</v>
      </c>
      <c r="J181">
        <v>0</v>
      </c>
      <c r="K181" t="s">
        <v>109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1:16" x14ac:dyDescent="0.35">
      <c r="A182" t="s">
        <v>213</v>
      </c>
      <c r="B182" t="s">
        <v>213</v>
      </c>
      <c r="C182" t="s">
        <v>214</v>
      </c>
      <c r="D182">
        <v>100471</v>
      </c>
      <c r="E182" t="s">
        <v>173</v>
      </c>
      <c r="F182">
        <v>0</v>
      </c>
      <c r="G182">
        <v>0</v>
      </c>
      <c r="H182">
        <v>0</v>
      </c>
      <c r="I182">
        <v>0</v>
      </c>
      <c r="J182">
        <v>0</v>
      </c>
      <c r="K182" t="s">
        <v>109</v>
      </c>
      <c r="L182">
        <v>0</v>
      </c>
      <c r="M182">
        <v>0</v>
      </c>
      <c r="N182">
        <v>0</v>
      </c>
      <c r="O182">
        <v>0</v>
      </c>
      <c r="P182">
        <v>0</v>
      </c>
    </row>
    <row r="183" spans="1:16" x14ac:dyDescent="0.35">
      <c r="A183" t="s">
        <v>213</v>
      </c>
      <c r="B183" t="s">
        <v>213</v>
      </c>
      <c r="C183" t="s">
        <v>214</v>
      </c>
      <c r="D183">
        <v>100471</v>
      </c>
      <c r="E183" t="s">
        <v>174</v>
      </c>
      <c r="F183">
        <v>0</v>
      </c>
      <c r="G183">
        <v>0</v>
      </c>
      <c r="H183">
        <v>0</v>
      </c>
      <c r="I183">
        <v>0</v>
      </c>
      <c r="J183">
        <v>0</v>
      </c>
      <c r="K183" t="s">
        <v>109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1:16" x14ac:dyDescent="0.35">
      <c r="A184" t="s">
        <v>213</v>
      </c>
      <c r="B184" t="s">
        <v>213</v>
      </c>
      <c r="C184" t="s">
        <v>214</v>
      </c>
      <c r="D184">
        <v>100471</v>
      </c>
      <c r="E184" t="s">
        <v>175</v>
      </c>
      <c r="F184">
        <v>0</v>
      </c>
      <c r="G184">
        <v>0</v>
      </c>
      <c r="H184">
        <v>0</v>
      </c>
      <c r="I184">
        <v>0</v>
      </c>
      <c r="J184">
        <v>0</v>
      </c>
      <c r="K184" t="s">
        <v>109</v>
      </c>
      <c r="L184">
        <v>0</v>
      </c>
      <c r="M184">
        <v>0</v>
      </c>
      <c r="N184">
        <v>0</v>
      </c>
      <c r="O184">
        <v>0</v>
      </c>
      <c r="P184">
        <v>0</v>
      </c>
    </row>
    <row r="185" spans="1:16" x14ac:dyDescent="0.35">
      <c r="A185" t="s">
        <v>213</v>
      </c>
      <c r="B185" t="s">
        <v>213</v>
      </c>
      <c r="C185" t="s">
        <v>214</v>
      </c>
      <c r="D185">
        <v>100471</v>
      </c>
      <c r="E185" t="s">
        <v>176</v>
      </c>
      <c r="F185">
        <v>0</v>
      </c>
      <c r="G185">
        <v>0</v>
      </c>
      <c r="H185">
        <v>0</v>
      </c>
      <c r="I185">
        <v>0</v>
      </c>
      <c r="J185">
        <v>0</v>
      </c>
      <c r="K185" t="s">
        <v>109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1:16" x14ac:dyDescent="0.35">
      <c r="A186" t="s">
        <v>213</v>
      </c>
      <c r="B186" t="s">
        <v>213</v>
      </c>
      <c r="C186" t="s">
        <v>214</v>
      </c>
      <c r="D186">
        <v>100471</v>
      </c>
      <c r="E186" t="s">
        <v>177</v>
      </c>
      <c r="F186">
        <v>0</v>
      </c>
      <c r="G186">
        <v>0</v>
      </c>
      <c r="H186">
        <v>0</v>
      </c>
      <c r="I186">
        <v>0</v>
      </c>
      <c r="J186">
        <v>0</v>
      </c>
      <c r="K186" t="s">
        <v>109</v>
      </c>
      <c r="L186">
        <v>0</v>
      </c>
      <c r="M186">
        <v>0</v>
      </c>
      <c r="N186">
        <v>0</v>
      </c>
      <c r="O186">
        <v>0</v>
      </c>
      <c r="P186">
        <v>0</v>
      </c>
    </row>
    <row r="187" spans="1:16" x14ac:dyDescent="0.35">
      <c r="A187" t="s">
        <v>213</v>
      </c>
      <c r="B187" t="s">
        <v>213</v>
      </c>
      <c r="C187" t="s">
        <v>214</v>
      </c>
      <c r="D187">
        <v>100471</v>
      </c>
      <c r="E187" t="s">
        <v>178</v>
      </c>
      <c r="F187">
        <v>0</v>
      </c>
      <c r="G187">
        <v>0</v>
      </c>
      <c r="H187">
        <v>0</v>
      </c>
      <c r="I187">
        <v>0</v>
      </c>
      <c r="J187">
        <v>0</v>
      </c>
      <c r="K187" t="s">
        <v>109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1:16" x14ac:dyDescent="0.35">
      <c r="A188" t="s">
        <v>213</v>
      </c>
      <c r="B188" t="s">
        <v>213</v>
      </c>
      <c r="C188" t="s">
        <v>214</v>
      </c>
      <c r="D188">
        <v>100471</v>
      </c>
      <c r="E188" t="s">
        <v>179</v>
      </c>
      <c r="F188">
        <v>0</v>
      </c>
      <c r="G188">
        <v>0</v>
      </c>
      <c r="H188">
        <v>0</v>
      </c>
      <c r="I188">
        <v>0</v>
      </c>
      <c r="J188">
        <v>0</v>
      </c>
      <c r="K188" t="s">
        <v>109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1:16" x14ac:dyDescent="0.35">
      <c r="A189" t="s">
        <v>213</v>
      </c>
      <c r="B189" t="s">
        <v>213</v>
      </c>
      <c r="C189" t="s">
        <v>214</v>
      </c>
      <c r="D189">
        <v>100471</v>
      </c>
      <c r="E189" t="s">
        <v>180</v>
      </c>
      <c r="F189">
        <v>0</v>
      </c>
      <c r="G189">
        <v>0</v>
      </c>
      <c r="H189">
        <v>0</v>
      </c>
      <c r="I189">
        <v>0</v>
      </c>
      <c r="J189">
        <v>0</v>
      </c>
      <c r="K189" t="s">
        <v>109</v>
      </c>
      <c r="L189">
        <v>0</v>
      </c>
      <c r="M189">
        <v>0</v>
      </c>
      <c r="N189">
        <v>0</v>
      </c>
      <c r="O189">
        <v>0</v>
      </c>
      <c r="P189">
        <v>0</v>
      </c>
    </row>
    <row r="190" spans="1:16" x14ac:dyDescent="0.35">
      <c r="A190" t="s">
        <v>213</v>
      </c>
      <c r="B190" t="s">
        <v>213</v>
      </c>
      <c r="C190" t="s">
        <v>214</v>
      </c>
      <c r="D190">
        <v>100471</v>
      </c>
      <c r="E190" t="s">
        <v>181</v>
      </c>
      <c r="F190">
        <v>0</v>
      </c>
      <c r="G190">
        <v>0</v>
      </c>
      <c r="H190">
        <v>0</v>
      </c>
      <c r="I190">
        <v>0</v>
      </c>
      <c r="J190">
        <v>0</v>
      </c>
      <c r="K190" t="s">
        <v>109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1:16" x14ac:dyDescent="0.35">
      <c r="A191" t="s">
        <v>213</v>
      </c>
      <c r="B191" t="s">
        <v>213</v>
      </c>
      <c r="C191" t="s">
        <v>214</v>
      </c>
      <c r="D191">
        <v>100471</v>
      </c>
      <c r="E191" t="s">
        <v>182</v>
      </c>
      <c r="F191">
        <v>0</v>
      </c>
      <c r="G191">
        <v>0</v>
      </c>
      <c r="H191">
        <v>0</v>
      </c>
      <c r="I191">
        <v>0</v>
      </c>
      <c r="J191">
        <v>0</v>
      </c>
      <c r="K191" t="s">
        <v>109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1:16" x14ac:dyDescent="0.35">
      <c r="A192" t="s">
        <v>213</v>
      </c>
      <c r="B192" t="s">
        <v>213</v>
      </c>
      <c r="C192" t="s">
        <v>214</v>
      </c>
      <c r="D192">
        <v>100471</v>
      </c>
      <c r="E192" t="s">
        <v>183</v>
      </c>
      <c r="F192">
        <v>0</v>
      </c>
      <c r="G192">
        <v>0</v>
      </c>
      <c r="H192">
        <v>0</v>
      </c>
      <c r="I192">
        <v>0</v>
      </c>
      <c r="J192">
        <v>0</v>
      </c>
      <c r="K192" t="s">
        <v>109</v>
      </c>
      <c r="L192">
        <v>0</v>
      </c>
      <c r="M192">
        <v>0</v>
      </c>
      <c r="N192">
        <v>0</v>
      </c>
      <c r="O192">
        <v>0</v>
      </c>
      <c r="P192">
        <v>0</v>
      </c>
    </row>
    <row r="193" spans="1:16" x14ac:dyDescent="0.35">
      <c r="A193" t="s">
        <v>213</v>
      </c>
      <c r="B193" t="s">
        <v>213</v>
      </c>
      <c r="C193" t="s">
        <v>214</v>
      </c>
      <c r="D193">
        <v>100471</v>
      </c>
      <c r="E193" t="s">
        <v>184</v>
      </c>
      <c r="F193">
        <v>0</v>
      </c>
      <c r="G193">
        <v>0</v>
      </c>
      <c r="H193">
        <v>0</v>
      </c>
      <c r="I193">
        <v>0</v>
      </c>
      <c r="J193">
        <v>0</v>
      </c>
      <c r="K193" t="s">
        <v>109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1:16" x14ac:dyDescent="0.35">
      <c r="A194" t="s">
        <v>213</v>
      </c>
      <c r="B194" t="s">
        <v>213</v>
      </c>
      <c r="C194" t="s">
        <v>214</v>
      </c>
      <c r="D194">
        <v>100471</v>
      </c>
      <c r="E194" t="s">
        <v>185</v>
      </c>
      <c r="F194">
        <v>0</v>
      </c>
      <c r="G194">
        <v>0</v>
      </c>
      <c r="H194">
        <v>0</v>
      </c>
      <c r="I194">
        <v>0</v>
      </c>
      <c r="J194">
        <v>0</v>
      </c>
      <c r="K194" t="s">
        <v>109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1:16" x14ac:dyDescent="0.35">
      <c r="A195" t="s">
        <v>213</v>
      </c>
      <c r="B195" t="s">
        <v>213</v>
      </c>
      <c r="C195" t="s">
        <v>214</v>
      </c>
      <c r="D195">
        <v>100471</v>
      </c>
      <c r="E195" t="s">
        <v>186</v>
      </c>
      <c r="F195">
        <v>0</v>
      </c>
      <c r="G195">
        <v>0</v>
      </c>
      <c r="H195">
        <v>0</v>
      </c>
      <c r="I195">
        <v>0</v>
      </c>
      <c r="J195">
        <v>0</v>
      </c>
      <c r="K195" t="s">
        <v>109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1:16" x14ac:dyDescent="0.35">
      <c r="A196" t="s">
        <v>213</v>
      </c>
      <c r="B196" t="s">
        <v>213</v>
      </c>
      <c r="C196" t="s">
        <v>214</v>
      </c>
      <c r="D196">
        <v>100471</v>
      </c>
      <c r="E196" t="s">
        <v>187</v>
      </c>
      <c r="F196">
        <v>0</v>
      </c>
      <c r="G196">
        <v>0</v>
      </c>
      <c r="H196">
        <v>0</v>
      </c>
      <c r="I196">
        <v>0</v>
      </c>
      <c r="J196">
        <v>0</v>
      </c>
      <c r="K196" t="s">
        <v>109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1:16" x14ac:dyDescent="0.35">
      <c r="A197" t="s">
        <v>213</v>
      </c>
      <c r="B197" t="s">
        <v>213</v>
      </c>
      <c r="C197" t="s">
        <v>214</v>
      </c>
      <c r="D197">
        <v>100471</v>
      </c>
      <c r="E197" t="s">
        <v>188</v>
      </c>
      <c r="F197">
        <v>0</v>
      </c>
      <c r="G197">
        <v>0</v>
      </c>
      <c r="H197">
        <v>0</v>
      </c>
      <c r="I197">
        <v>0</v>
      </c>
      <c r="J197">
        <v>0</v>
      </c>
      <c r="K197" t="s">
        <v>109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1:16" x14ac:dyDescent="0.35">
      <c r="A198" t="s">
        <v>213</v>
      </c>
      <c r="B198" t="s">
        <v>213</v>
      </c>
      <c r="C198" t="s">
        <v>214</v>
      </c>
      <c r="D198">
        <v>100471</v>
      </c>
      <c r="E198" t="s">
        <v>189</v>
      </c>
      <c r="F198">
        <v>0</v>
      </c>
      <c r="G198">
        <v>0</v>
      </c>
      <c r="H198">
        <v>0</v>
      </c>
      <c r="I198">
        <v>0</v>
      </c>
      <c r="J198">
        <v>0</v>
      </c>
      <c r="K198" t="s">
        <v>109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1:16" x14ac:dyDescent="0.35">
      <c r="A199" t="s">
        <v>213</v>
      </c>
      <c r="B199" t="s">
        <v>213</v>
      </c>
      <c r="C199" t="s">
        <v>214</v>
      </c>
      <c r="D199">
        <v>100471</v>
      </c>
      <c r="E199" t="s">
        <v>190</v>
      </c>
      <c r="F199">
        <v>0</v>
      </c>
      <c r="G199">
        <v>0</v>
      </c>
      <c r="H199">
        <v>0</v>
      </c>
      <c r="I199">
        <v>0</v>
      </c>
      <c r="J199">
        <v>0</v>
      </c>
      <c r="K199" t="s">
        <v>109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1:16" x14ac:dyDescent="0.35">
      <c r="A200" t="s">
        <v>213</v>
      </c>
      <c r="B200" t="s">
        <v>213</v>
      </c>
      <c r="C200" t="s">
        <v>214</v>
      </c>
      <c r="D200">
        <v>100471</v>
      </c>
      <c r="E200" t="s">
        <v>191</v>
      </c>
      <c r="F200">
        <v>0</v>
      </c>
      <c r="G200">
        <v>0</v>
      </c>
      <c r="H200">
        <v>0</v>
      </c>
      <c r="I200">
        <v>0</v>
      </c>
      <c r="J200">
        <v>0</v>
      </c>
      <c r="K200" t="s">
        <v>109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1:16" x14ac:dyDescent="0.35">
      <c r="A201" t="s">
        <v>213</v>
      </c>
      <c r="B201" t="s">
        <v>213</v>
      </c>
      <c r="C201" t="s">
        <v>214</v>
      </c>
      <c r="D201">
        <v>100471</v>
      </c>
      <c r="E201" t="s">
        <v>192</v>
      </c>
      <c r="F201">
        <v>0</v>
      </c>
      <c r="G201">
        <v>0</v>
      </c>
      <c r="H201">
        <v>0</v>
      </c>
      <c r="I201">
        <v>0</v>
      </c>
      <c r="J201">
        <v>0</v>
      </c>
      <c r="K201" t="s">
        <v>109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1:16" x14ac:dyDescent="0.35">
      <c r="A202" t="s">
        <v>213</v>
      </c>
      <c r="B202" t="s">
        <v>213</v>
      </c>
      <c r="C202" t="s">
        <v>214</v>
      </c>
      <c r="D202">
        <v>100471</v>
      </c>
      <c r="E202" t="s">
        <v>203</v>
      </c>
      <c r="F202">
        <v>0</v>
      </c>
      <c r="G202">
        <v>0</v>
      </c>
      <c r="H202">
        <v>0</v>
      </c>
      <c r="I202">
        <v>0</v>
      </c>
      <c r="J202">
        <v>0</v>
      </c>
      <c r="K202" t="s">
        <v>109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1:16" x14ac:dyDescent="0.35">
      <c r="A203" t="s">
        <v>213</v>
      </c>
      <c r="B203" t="s">
        <v>213</v>
      </c>
      <c r="C203" t="s">
        <v>214</v>
      </c>
      <c r="D203">
        <v>100471</v>
      </c>
      <c r="E203" t="s">
        <v>204</v>
      </c>
      <c r="F203">
        <v>0</v>
      </c>
      <c r="G203">
        <v>0</v>
      </c>
      <c r="H203">
        <v>0</v>
      </c>
      <c r="I203">
        <v>0</v>
      </c>
      <c r="J203">
        <v>0</v>
      </c>
      <c r="K203" t="s">
        <v>109</v>
      </c>
      <c r="L203">
        <v>0</v>
      </c>
      <c r="M203">
        <v>0</v>
      </c>
      <c r="N203">
        <v>0</v>
      </c>
      <c r="O203">
        <v>0</v>
      </c>
      <c r="P203">
        <v>0</v>
      </c>
    </row>
    <row r="204" spans="1:16" x14ac:dyDescent="0.35">
      <c r="A204" t="s">
        <v>213</v>
      </c>
      <c r="B204" t="s">
        <v>213</v>
      </c>
      <c r="C204" t="s">
        <v>214</v>
      </c>
      <c r="D204">
        <v>100471</v>
      </c>
      <c r="E204" t="s">
        <v>205</v>
      </c>
      <c r="F204">
        <v>0</v>
      </c>
      <c r="G204">
        <v>0</v>
      </c>
      <c r="H204">
        <v>0</v>
      </c>
      <c r="I204">
        <v>0</v>
      </c>
      <c r="J204">
        <v>0</v>
      </c>
      <c r="K204" t="s">
        <v>109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1:16" x14ac:dyDescent="0.35">
      <c r="A205" t="s">
        <v>213</v>
      </c>
      <c r="B205" t="s">
        <v>213</v>
      </c>
      <c r="C205" t="s">
        <v>214</v>
      </c>
      <c r="D205">
        <v>100471</v>
      </c>
      <c r="E205" t="s">
        <v>206</v>
      </c>
      <c r="F205">
        <v>0</v>
      </c>
      <c r="G205">
        <v>0</v>
      </c>
      <c r="H205">
        <v>0</v>
      </c>
      <c r="I205">
        <v>0</v>
      </c>
      <c r="J205">
        <v>0</v>
      </c>
      <c r="K205" t="s">
        <v>109</v>
      </c>
      <c r="L205">
        <v>0</v>
      </c>
      <c r="M205">
        <v>0</v>
      </c>
      <c r="N205">
        <v>0</v>
      </c>
      <c r="O205">
        <v>0</v>
      </c>
      <c r="P205">
        <v>0</v>
      </c>
    </row>
    <row r="206" spans="1:16" x14ac:dyDescent="0.35">
      <c r="A206" t="s">
        <v>213</v>
      </c>
      <c r="B206" t="s">
        <v>213</v>
      </c>
      <c r="C206" t="s">
        <v>214</v>
      </c>
      <c r="D206">
        <v>100471</v>
      </c>
      <c r="E206" t="s">
        <v>207</v>
      </c>
      <c r="F206">
        <v>0</v>
      </c>
      <c r="G206">
        <v>0</v>
      </c>
      <c r="H206">
        <v>0</v>
      </c>
      <c r="I206">
        <v>0</v>
      </c>
      <c r="J206">
        <v>0</v>
      </c>
      <c r="K206" t="s">
        <v>109</v>
      </c>
      <c r="L206">
        <v>0</v>
      </c>
      <c r="M206">
        <v>0</v>
      </c>
      <c r="N206">
        <v>0</v>
      </c>
      <c r="O206">
        <v>0</v>
      </c>
      <c r="P206">
        <v>0</v>
      </c>
    </row>
    <row r="207" spans="1:16" x14ac:dyDescent="0.35">
      <c r="A207" t="s">
        <v>213</v>
      </c>
      <c r="B207" t="s">
        <v>213</v>
      </c>
      <c r="C207" t="s">
        <v>214</v>
      </c>
      <c r="D207">
        <v>100471</v>
      </c>
      <c r="E207" t="s">
        <v>208</v>
      </c>
      <c r="F207">
        <v>0</v>
      </c>
      <c r="G207">
        <v>0</v>
      </c>
      <c r="H207">
        <v>0</v>
      </c>
      <c r="I207">
        <v>0</v>
      </c>
      <c r="J207">
        <v>0</v>
      </c>
      <c r="K207" t="s">
        <v>109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1:16" x14ac:dyDescent="0.35">
      <c r="A208" t="s">
        <v>213</v>
      </c>
      <c r="B208" t="s">
        <v>213</v>
      </c>
      <c r="C208" t="s">
        <v>214</v>
      </c>
      <c r="D208">
        <v>100471</v>
      </c>
      <c r="E208" t="s">
        <v>209</v>
      </c>
      <c r="F208">
        <v>0</v>
      </c>
      <c r="G208">
        <v>0</v>
      </c>
      <c r="H208">
        <v>0</v>
      </c>
      <c r="I208">
        <v>0</v>
      </c>
      <c r="J208">
        <v>0</v>
      </c>
      <c r="K208" t="s">
        <v>109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1:16" x14ac:dyDescent="0.35">
      <c r="A209" t="s">
        <v>213</v>
      </c>
      <c r="B209" t="s">
        <v>213</v>
      </c>
      <c r="C209" t="s">
        <v>214</v>
      </c>
      <c r="D209">
        <v>100471</v>
      </c>
      <c r="E209" t="s">
        <v>210</v>
      </c>
      <c r="F209">
        <v>0</v>
      </c>
      <c r="G209">
        <v>0</v>
      </c>
      <c r="H209">
        <v>0</v>
      </c>
      <c r="I209">
        <v>0</v>
      </c>
      <c r="J209">
        <v>0</v>
      </c>
      <c r="K209" t="s">
        <v>109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1:16" x14ac:dyDescent="0.35">
      <c r="A210" t="s">
        <v>213</v>
      </c>
      <c r="B210" t="s">
        <v>213</v>
      </c>
      <c r="C210" t="s">
        <v>214</v>
      </c>
      <c r="D210">
        <v>100471</v>
      </c>
      <c r="E210" t="s">
        <v>211</v>
      </c>
      <c r="F210">
        <v>0</v>
      </c>
      <c r="G210">
        <v>0</v>
      </c>
      <c r="H210">
        <v>0</v>
      </c>
      <c r="I210">
        <v>0</v>
      </c>
      <c r="J210">
        <v>0</v>
      </c>
      <c r="K210" t="s">
        <v>109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1:16" x14ac:dyDescent="0.35">
      <c r="A211" t="s">
        <v>213</v>
      </c>
      <c r="B211" t="s">
        <v>213</v>
      </c>
      <c r="C211" t="s">
        <v>214</v>
      </c>
      <c r="D211">
        <v>100471</v>
      </c>
      <c r="E211" t="s">
        <v>212</v>
      </c>
      <c r="F211">
        <v>0</v>
      </c>
      <c r="G211">
        <v>0</v>
      </c>
      <c r="H211">
        <v>0</v>
      </c>
      <c r="I211">
        <v>0</v>
      </c>
      <c r="J211">
        <v>0</v>
      </c>
      <c r="K211" t="s">
        <v>109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1:16" x14ac:dyDescent="0.35">
      <c r="A212" t="s">
        <v>223</v>
      </c>
      <c r="B212" t="s">
        <v>223</v>
      </c>
      <c r="C212" t="s">
        <v>223</v>
      </c>
      <c r="D212">
        <v>0</v>
      </c>
      <c r="F212">
        <v>0</v>
      </c>
      <c r="G212">
        <v>0</v>
      </c>
      <c r="H212">
        <v>9.5819444444444404</v>
      </c>
      <c r="I212">
        <v>0</v>
      </c>
      <c r="J212">
        <v>0</v>
      </c>
      <c r="K212" t="s">
        <v>109</v>
      </c>
      <c r="L212">
        <v>0</v>
      </c>
      <c r="M212">
        <v>0</v>
      </c>
      <c r="N212">
        <v>0</v>
      </c>
      <c r="O212">
        <v>-9.5819444444444404</v>
      </c>
      <c r="P212">
        <v>-4.5819444444444404</v>
      </c>
    </row>
    <row r="213" spans="1:16" x14ac:dyDescent="0.35">
      <c r="A213" t="s">
        <v>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O214"/>
  <sheetViews>
    <sheetView workbookViewId="0">
      <selection activeCell="A251" sqref="A251"/>
    </sheetView>
  </sheetViews>
  <sheetFormatPr defaultRowHeight="14.5" x14ac:dyDescent="0.35"/>
  <cols>
    <col min="1" max="2" width="14.7265625" bestFit="1" customWidth="1"/>
    <col min="3" max="3" width="27.26953125" bestFit="1" customWidth="1"/>
    <col min="4" max="4" width="14.6328125" bestFit="1" customWidth="1"/>
    <col min="5" max="5" width="33.81640625" bestFit="1" customWidth="1"/>
    <col min="6" max="6" width="10.7265625" bestFit="1" customWidth="1"/>
    <col min="7" max="7" width="13.7265625" bestFit="1" customWidth="1"/>
    <col min="8" max="10" width="11.81640625" bestFit="1" customWidth="1"/>
    <col min="11" max="11" width="8.81640625" bestFit="1" customWidth="1"/>
    <col min="12" max="12" width="8.36328125" bestFit="1" customWidth="1"/>
    <col min="13" max="13" width="11.81640625" bestFit="1" customWidth="1"/>
    <col min="14" max="14" width="13.36328125" bestFit="1" customWidth="1"/>
    <col min="15" max="15" width="15" bestFit="1" customWidth="1"/>
  </cols>
  <sheetData>
    <row r="1" spans="1:15" x14ac:dyDescent="0.35">
      <c r="A1" t="s">
        <v>94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48</v>
      </c>
      <c r="I1" t="s">
        <v>101</v>
      </c>
      <c r="J1" t="s">
        <v>102</v>
      </c>
      <c r="K1" t="s">
        <v>103</v>
      </c>
      <c r="L1" t="s">
        <v>104</v>
      </c>
      <c r="M1" t="s">
        <v>105</v>
      </c>
      <c r="N1" t="s">
        <v>106</v>
      </c>
      <c r="O1" t="s">
        <v>107</v>
      </c>
    </row>
    <row r="2" spans="1:15" hidden="1" x14ac:dyDescent="0.35">
      <c r="A2" t="s">
        <v>108</v>
      </c>
      <c r="B2" t="s">
        <v>52</v>
      </c>
      <c r="C2" t="s">
        <v>60</v>
      </c>
      <c r="D2">
        <v>100405</v>
      </c>
      <c r="F2">
        <v>21778</v>
      </c>
      <c r="G2">
        <v>21778</v>
      </c>
      <c r="H2">
        <v>9.8308333333333309</v>
      </c>
      <c r="I2">
        <v>2215.27506993303</v>
      </c>
      <c r="J2">
        <v>2215.27506993303</v>
      </c>
      <c r="K2" t="s">
        <v>109</v>
      </c>
      <c r="L2">
        <v>959.76</v>
      </c>
      <c r="M2">
        <v>22.691089439026399</v>
      </c>
      <c r="N2">
        <v>230.815523665607</v>
      </c>
      <c r="O2">
        <v>12.860256105693001</v>
      </c>
    </row>
    <row r="3" spans="1:15" hidden="1" x14ac:dyDescent="0.35">
      <c r="A3" t="s">
        <v>108</v>
      </c>
      <c r="B3" t="s">
        <v>52</v>
      </c>
      <c r="C3" t="s">
        <v>61</v>
      </c>
      <c r="D3">
        <v>100400</v>
      </c>
      <c r="F3">
        <v>21778</v>
      </c>
      <c r="G3">
        <v>21778</v>
      </c>
      <c r="H3">
        <v>18.5</v>
      </c>
      <c r="I3">
        <v>1177.1891891891801</v>
      </c>
      <c r="J3">
        <v>1177.1891891891801</v>
      </c>
      <c r="K3" t="s">
        <v>109</v>
      </c>
      <c r="L3">
        <v>831.34</v>
      </c>
      <c r="M3">
        <v>26.196261457406099</v>
      </c>
      <c r="N3">
        <v>141.601413283276</v>
      </c>
      <c r="O3">
        <v>7.6962614574061101</v>
      </c>
    </row>
    <row r="4" spans="1:15" hidden="1" x14ac:dyDescent="0.35">
      <c r="A4" t="s">
        <v>108</v>
      </c>
      <c r="B4" t="s">
        <v>52</v>
      </c>
      <c r="C4" t="s">
        <v>7</v>
      </c>
      <c r="D4">
        <v>100020</v>
      </c>
      <c r="E4" t="s">
        <v>110</v>
      </c>
      <c r="F4">
        <v>0</v>
      </c>
      <c r="G4">
        <v>0</v>
      </c>
      <c r="H4">
        <v>0</v>
      </c>
      <c r="I4">
        <v>0</v>
      </c>
      <c r="J4">
        <v>0</v>
      </c>
      <c r="K4" t="s">
        <v>109</v>
      </c>
      <c r="L4">
        <v>0</v>
      </c>
      <c r="M4">
        <v>0</v>
      </c>
      <c r="N4">
        <v>0</v>
      </c>
      <c r="O4">
        <v>0</v>
      </c>
    </row>
    <row r="5" spans="1:15" hidden="1" x14ac:dyDescent="0.35">
      <c r="A5" t="s">
        <v>108</v>
      </c>
      <c r="B5" t="s">
        <v>52</v>
      </c>
      <c r="C5" t="s">
        <v>7</v>
      </c>
      <c r="D5">
        <v>100020</v>
      </c>
      <c r="E5" t="s">
        <v>111</v>
      </c>
      <c r="F5">
        <v>6315</v>
      </c>
      <c r="G5">
        <v>6315</v>
      </c>
      <c r="H5">
        <v>6.0630555555555503</v>
      </c>
      <c r="I5">
        <v>1041.5540385760701</v>
      </c>
      <c r="J5">
        <v>1041.5540385760701</v>
      </c>
      <c r="K5" t="s">
        <v>109</v>
      </c>
      <c r="L5">
        <v>0</v>
      </c>
      <c r="M5">
        <v>0</v>
      </c>
      <c r="N5">
        <v>0</v>
      </c>
      <c r="O5">
        <v>-6.0630555555555503</v>
      </c>
    </row>
    <row r="6" spans="1:15" hidden="1" x14ac:dyDescent="0.35">
      <c r="A6" t="s">
        <v>108</v>
      </c>
      <c r="B6" t="s">
        <v>52</v>
      </c>
      <c r="C6" t="s">
        <v>7</v>
      </c>
      <c r="D6">
        <v>100020</v>
      </c>
      <c r="E6" t="s">
        <v>112</v>
      </c>
      <c r="F6">
        <v>0</v>
      </c>
      <c r="G6">
        <v>0</v>
      </c>
      <c r="H6">
        <v>0</v>
      </c>
      <c r="I6">
        <v>0</v>
      </c>
      <c r="J6">
        <v>0</v>
      </c>
      <c r="K6" t="s">
        <v>109</v>
      </c>
      <c r="L6">
        <v>0</v>
      </c>
      <c r="M6">
        <v>0</v>
      </c>
      <c r="N6">
        <v>0</v>
      </c>
      <c r="O6">
        <v>0</v>
      </c>
    </row>
    <row r="7" spans="1:15" hidden="1" x14ac:dyDescent="0.35">
      <c r="A7" t="s">
        <v>108</v>
      </c>
      <c r="B7" t="s">
        <v>52</v>
      </c>
      <c r="C7" t="s">
        <v>7</v>
      </c>
      <c r="D7">
        <v>100020</v>
      </c>
      <c r="E7" t="s">
        <v>113</v>
      </c>
      <c r="F7">
        <v>0</v>
      </c>
      <c r="G7">
        <v>0</v>
      </c>
      <c r="H7">
        <v>0</v>
      </c>
      <c r="I7">
        <v>0</v>
      </c>
      <c r="J7">
        <v>0</v>
      </c>
      <c r="K7" t="s">
        <v>109</v>
      </c>
      <c r="L7">
        <v>0</v>
      </c>
      <c r="M7">
        <v>0</v>
      </c>
      <c r="N7">
        <v>0</v>
      </c>
      <c r="O7">
        <v>0</v>
      </c>
    </row>
    <row r="8" spans="1:15" hidden="1" x14ac:dyDescent="0.35">
      <c r="A8" t="s">
        <v>108</v>
      </c>
      <c r="B8" t="s">
        <v>52</v>
      </c>
      <c r="C8" t="s">
        <v>7</v>
      </c>
      <c r="D8">
        <v>100020</v>
      </c>
      <c r="E8" t="s">
        <v>114</v>
      </c>
      <c r="F8">
        <v>3046</v>
      </c>
      <c r="G8">
        <v>3046</v>
      </c>
      <c r="H8">
        <v>3.5627777777777698</v>
      </c>
      <c r="I8">
        <v>854.95088102292198</v>
      </c>
      <c r="J8">
        <v>854.95088102292198</v>
      </c>
      <c r="K8" t="s">
        <v>109</v>
      </c>
      <c r="L8">
        <v>0</v>
      </c>
      <c r="M8">
        <v>0</v>
      </c>
      <c r="N8">
        <v>0</v>
      </c>
      <c r="O8">
        <v>-3.5627777777777698</v>
      </c>
    </row>
    <row r="9" spans="1:15" hidden="1" x14ac:dyDescent="0.35">
      <c r="A9" t="s">
        <v>108</v>
      </c>
      <c r="B9" t="s">
        <v>52</v>
      </c>
      <c r="C9" t="s">
        <v>7</v>
      </c>
      <c r="D9">
        <v>100020</v>
      </c>
      <c r="E9" t="s">
        <v>115</v>
      </c>
      <c r="F9">
        <v>1131</v>
      </c>
      <c r="G9">
        <v>1131</v>
      </c>
      <c r="H9">
        <v>1.7775000000000001</v>
      </c>
      <c r="I9">
        <v>636.28691983122303</v>
      </c>
      <c r="J9">
        <v>636.28691983122303</v>
      </c>
      <c r="K9" t="s">
        <v>109</v>
      </c>
      <c r="L9">
        <v>0</v>
      </c>
      <c r="M9">
        <v>0</v>
      </c>
      <c r="N9">
        <v>0</v>
      </c>
      <c r="O9">
        <v>-1.7775000000000001</v>
      </c>
    </row>
    <row r="10" spans="1:15" hidden="1" x14ac:dyDescent="0.35">
      <c r="A10" t="s">
        <v>108</v>
      </c>
      <c r="B10" t="s">
        <v>52</v>
      </c>
      <c r="C10" t="s">
        <v>7</v>
      </c>
      <c r="D10">
        <v>100020</v>
      </c>
      <c r="E10" t="s">
        <v>116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109</v>
      </c>
      <c r="L10">
        <v>0</v>
      </c>
      <c r="M10">
        <v>0</v>
      </c>
      <c r="N10">
        <v>0</v>
      </c>
      <c r="O10">
        <v>0</v>
      </c>
    </row>
    <row r="11" spans="1:15" hidden="1" x14ac:dyDescent="0.35">
      <c r="A11" t="s">
        <v>108</v>
      </c>
      <c r="B11" t="s">
        <v>52</v>
      </c>
      <c r="C11" t="s">
        <v>7</v>
      </c>
      <c r="D11">
        <v>100020</v>
      </c>
      <c r="E11" t="s">
        <v>117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109</v>
      </c>
      <c r="L11">
        <v>0</v>
      </c>
      <c r="M11">
        <v>0</v>
      </c>
      <c r="N11">
        <v>0</v>
      </c>
      <c r="O11">
        <v>0</v>
      </c>
    </row>
    <row r="12" spans="1:15" hidden="1" x14ac:dyDescent="0.35">
      <c r="A12" t="s">
        <v>108</v>
      </c>
      <c r="B12" t="s">
        <v>52</v>
      </c>
      <c r="C12" t="s">
        <v>7</v>
      </c>
      <c r="D12">
        <v>100020</v>
      </c>
      <c r="E12" t="s">
        <v>118</v>
      </c>
      <c r="F12">
        <v>11255</v>
      </c>
      <c r="G12">
        <v>11255</v>
      </c>
      <c r="H12">
        <v>8.4600000000000009</v>
      </c>
      <c r="I12">
        <v>1330.3782505910101</v>
      </c>
      <c r="J12">
        <v>1330.3782505910101</v>
      </c>
      <c r="K12" t="s">
        <v>109</v>
      </c>
      <c r="L12">
        <v>0</v>
      </c>
      <c r="M12">
        <v>0</v>
      </c>
      <c r="N12">
        <v>0</v>
      </c>
      <c r="O12">
        <v>-8.4600000000000009</v>
      </c>
    </row>
    <row r="13" spans="1:15" hidden="1" x14ac:dyDescent="0.35">
      <c r="A13" t="s">
        <v>108</v>
      </c>
      <c r="B13" t="s">
        <v>52</v>
      </c>
      <c r="C13" t="s">
        <v>7</v>
      </c>
      <c r="D13">
        <v>100020</v>
      </c>
      <c r="E13" t="s">
        <v>119</v>
      </c>
      <c r="F13">
        <v>1</v>
      </c>
      <c r="G13">
        <v>1</v>
      </c>
      <c r="H13">
        <v>1.6666666666666601E-3</v>
      </c>
      <c r="I13">
        <v>600</v>
      </c>
      <c r="J13">
        <v>600</v>
      </c>
      <c r="K13" t="s">
        <v>109</v>
      </c>
      <c r="L13">
        <v>0</v>
      </c>
      <c r="M13">
        <v>0</v>
      </c>
      <c r="N13">
        <v>0</v>
      </c>
      <c r="O13">
        <v>-1.6666666666666601E-3</v>
      </c>
    </row>
    <row r="14" spans="1:15" hidden="1" x14ac:dyDescent="0.35">
      <c r="A14" t="s">
        <v>108</v>
      </c>
      <c r="B14" t="s">
        <v>52</v>
      </c>
      <c r="C14" t="s">
        <v>7</v>
      </c>
      <c r="D14">
        <v>100020</v>
      </c>
      <c r="E14" t="s">
        <v>120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109</v>
      </c>
      <c r="L14">
        <v>0</v>
      </c>
      <c r="M14">
        <v>0</v>
      </c>
      <c r="N14">
        <v>0</v>
      </c>
      <c r="O14">
        <v>0</v>
      </c>
    </row>
    <row r="15" spans="1:15" hidden="1" x14ac:dyDescent="0.35">
      <c r="A15" t="s">
        <v>108</v>
      </c>
      <c r="B15" t="s">
        <v>52</v>
      </c>
      <c r="C15" t="s">
        <v>7</v>
      </c>
      <c r="D15">
        <v>100020</v>
      </c>
      <c r="E15" t="s">
        <v>121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109</v>
      </c>
      <c r="L15">
        <v>0</v>
      </c>
      <c r="M15">
        <v>0</v>
      </c>
      <c r="N15">
        <v>0</v>
      </c>
      <c r="O15">
        <v>0</v>
      </c>
    </row>
    <row r="16" spans="1:15" hidden="1" x14ac:dyDescent="0.35">
      <c r="A16" t="s">
        <v>108</v>
      </c>
      <c r="B16" t="s">
        <v>52</v>
      </c>
      <c r="C16" t="s">
        <v>7</v>
      </c>
      <c r="D16">
        <v>100020</v>
      </c>
      <c r="E16" t="s">
        <v>122</v>
      </c>
      <c r="F16">
        <v>7</v>
      </c>
      <c r="G16">
        <v>7</v>
      </c>
      <c r="H16">
        <v>1.4222222222222201</v>
      </c>
      <c r="I16">
        <v>4.9218749999999902</v>
      </c>
      <c r="J16">
        <v>4.9218749999999902</v>
      </c>
      <c r="K16" t="s">
        <v>109</v>
      </c>
      <c r="L16">
        <v>0</v>
      </c>
      <c r="M16">
        <v>0</v>
      </c>
      <c r="N16">
        <v>0</v>
      </c>
      <c r="O16">
        <v>-1.4222222222222201</v>
      </c>
    </row>
    <row r="17" spans="1:15" hidden="1" x14ac:dyDescent="0.35">
      <c r="A17" t="s">
        <v>108</v>
      </c>
      <c r="B17" t="s">
        <v>52</v>
      </c>
      <c r="C17" t="s">
        <v>7</v>
      </c>
      <c r="D17">
        <v>100020</v>
      </c>
      <c r="E17" t="s">
        <v>123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109</v>
      </c>
      <c r="L17">
        <v>0</v>
      </c>
      <c r="M17">
        <v>0</v>
      </c>
      <c r="N17">
        <v>0</v>
      </c>
      <c r="O17">
        <v>0</v>
      </c>
    </row>
    <row r="18" spans="1:15" hidden="1" x14ac:dyDescent="0.35">
      <c r="A18" t="s">
        <v>108</v>
      </c>
      <c r="B18" t="s">
        <v>52</v>
      </c>
      <c r="C18" t="s">
        <v>7</v>
      </c>
      <c r="D18">
        <v>100020</v>
      </c>
      <c r="E18" t="s">
        <v>124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109</v>
      </c>
      <c r="L18">
        <v>0</v>
      </c>
      <c r="M18">
        <v>0</v>
      </c>
      <c r="N18">
        <v>0</v>
      </c>
      <c r="O18">
        <v>0</v>
      </c>
    </row>
    <row r="19" spans="1:15" hidden="1" x14ac:dyDescent="0.35">
      <c r="A19" t="s">
        <v>108</v>
      </c>
      <c r="B19" t="s">
        <v>52</v>
      </c>
      <c r="C19" t="s">
        <v>7</v>
      </c>
      <c r="D19">
        <v>100020</v>
      </c>
      <c r="E19" t="s">
        <v>125</v>
      </c>
      <c r="F19">
        <v>3</v>
      </c>
      <c r="G19">
        <v>3</v>
      </c>
      <c r="H19">
        <v>0.153611111111111</v>
      </c>
      <c r="I19">
        <v>19.529837251356199</v>
      </c>
      <c r="J19">
        <v>19.529837251356199</v>
      </c>
      <c r="K19" t="s">
        <v>109</v>
      </c>
      <c r="L19">
        <v>0</v>
      </c>
      <c r="M19">
        <v>0</v>
      </c>
      <c r="N19">
        <v>0</v>
      </c>
      <c r="O19">
        <v>-0.153611111111111</v>
      </c>
    </row>
    <row r="20" spans="1:15" hidden="1" x14ac:dyDescent="0.35">
      <c r="A20" t="s">
        <v>108</v>
      </c>
      <c r="B20" t="s">
        <v>52</v>
      </c>
      <c r="C20" t="s">
        <v>7</v>
      </c>
      <c r="D20">
        <v>100020</v>
      </c>
      <c r="E20" t="s">
        <v>126</v>
      </c>
      <c r="F20">
        <v>2</v>
      </c>
      <c r="G20">
        <v>2</v>
      </c>
      <c r="H20">
        <v>5.1944444444444397E-2</v>
      </c>
      <c r="I20">
        <v>38.502673796791399</v>
      </c>
      <c r="J20">
        <v>38.502673796791399</v>
      </c>
      <c r="K20" t="s">
        <v>109</v>
      </c>
      <c r="L20">
        <v>0</v>
      </c>
      <c r="M20">
        <v>0</v>
      </c>
      <c r="N20">
        <v>0</v>
      </c>
      <c r="O20">
        <v>-5.1944444444444397E-2</v>
      </c>
    </row>
    <row r="21" spans="1:15" hidden="1" x14ac:dyDescent="0.35">
      <c r="A21" t="s">
        <v>108</v>
      </c>
      <c r="B21" t="s">
        <v>52</v>
      </c>
      <c r="C21" t="s">
        <v>7</v>
      </c>
      <c r="D21">
        <v>100020</v>
      </c>
      <c r="E21" t="s">
        <v>127</v>
      </c>
      <c r="F21">
        <v>0</v>
      </c>
      <c r="G21">
        <v>0</v>
      </c>
      <c r="H21">
        <v>0</v>
      </c>
      <c r="I21">
        <v>0</v>
      </c>
      <c r="J21">
        <v>0</v>
      </c>
      <c r="K21" t="s">
        <v>109</v>
      </c>
      <c r="L21">
        <v>0</v>
      </c>
      <c r="M21">
        <v>0</v>
      </c>
      <c r="N21">
        <v>0</v>
      </c>
      <c r="O21">
        <v>0</v>
      </c>
    </row>
    <row r="22" spans="1:15" hidden="1" x14ac:dyDescent="0.35">
      <c r="A22" t="s">
        <v>108</v>
      </c>
      <c r="B22" t="s">
        <v>52</v>
      </c>
      <c r="C22" t="s">
        <v>7</v>
      </c>
      <c r="D22">
        <v>100020</v>
      </c>
      <c r="E22" t="s">
        <v>128</v>
      </c>
      <c r="F22">
        <v>0</v>
      </c>
      <c r="G22">
        <v>0</v>
      </c>
      <c r="H22">
        <v>0</v>
      </c>
      <c r="I22">
        <v>0</v>
      </c>
      <c r="J22">
        <v>0</v>
      </c>
      <c r="K22" t="s">
        <v>109</v>
      </c>
      <c r="L22">
        <v>0</v>
      </c>
      <c r="M22">
        <v>0</v>
      </c>
      <c r="N22">
        <v>0</v>
      </c>
      <c r="O22">
        <v>0</v>
      </c>
    </row>
    <row r="23" spans="1:15" hidden="1" x14ac:dyDescent="0.35">
      <c r="A23" t="s">
        <v>108</v>
      </c>
      <c r="B23" t="s">
        <v>52</v>
      </c>
      <c r="C23" t="s">
        <v>7</v>
      </c>
      <c r="D23">
        <v>100020</v>
      </c>
      <c r="E23" t="s">
        <v>129</v>
      </c>
      <c r="F23">
        <v>15</v>
      </c>
      <c r="G23">
        <v>15</v>
      </c>
      <c r="H23">
        <v>0.61111111111111105</v>
      </c>
      <c r="I23">
        <v>24.545454545454501</v>
      </c>
      <c r="J23">
        <v>24.545454545454501</v>
      </c>
      <c r="K23" t="s">
        <v>109</v>
      </c>
      <c r="L23">
        <v>0</v>
      </c>
      <c r="M23">
        <v>0</v>
      </c>
      <c r="N23">
        <v>0</v>
      </c>
      <c r="O23">
        <v>-0.61111111111111105</v>
      </c>
    </row>
    <row r="24" spans="1:15" hidden="1" x14ac:dyDescent="0.35">
      <c r="A24" t="s">
        <v>108</v>
      </c>
      <c r="B24" t="s">
        <v>52</v>
      </c>
      <c r="C24" t="s">
        <v>7</v>
      </c>
      <c r="D24">
        <v>100020</v>
      </c>
      <c r="E24" t="s">
        <v>130</v>
      </c>
      <c r="F24">
        <v>3</v>
      </c>
      <c r="G24">
        <v>3</v>
      </c>
      <c r="H24">
        <v>2.8333333333333301E-2</v>
      </c>
      <c r="I24">
        <v>105.88235294117599</v>
      </c>
      <c r="J24">
        <v>105.88235294117599</v>
      </c>
      <c r="K24" t="s">
        <v>109</v>
      </c>
      <c r="L24">
        <v>0</v>
      </c>
      <c r="M24">
        <v>0</v>
      </c>
      <c r="N24">
        <v>0</v>
      </c>
      <c r="O24">
        <v>-2.8333333333333301E-2</v>
      </c>
    </row>
    <row r="25" spans="1:15" hidden="1" x14ac:dyDescent="0.35">
      <c r="A25" t="s">
        <v>108</v>
      </c>
      <c r="B25" t="s">
        <v>52</v>
      </c>
      <c r="C25" t="s">
        <v>7</v>
      </c>
      <c r="D25">
        <v>100020</v>
      </c>
      <c r="E25" t="s">
        <v>131</v>
      </c>
      <c r="F25">
        <v>0</v>
      </c>
      <c r="G25">
        <v>0</v>
      </c>
      <c r="H25">
        <v>0</v>
      </c>
      <c r="I25">
        <v>0</v>
      </c>
      <c r="J25">
        <v>0</v>
      </c>
      <c r="K25" t="s">
        <v>109</v>
      </c>
      <c r="L25">
        <v>0</v>
      </c>
      <c r="M25">
        <v>0</v>
      </c>
      <c r="N25">
        <v>0</v>
      </c>
      <c r="O25">
        <v>0</v>
      </c>
    </row>
    <row r="26" spans="1:15" hidden="1" x14ac:dyDescent="0.35">
      <c r="A26" t="s">
        <v>108</v>
      </c>
      <c r="B26" t="s">
        <v>52</v>
      </c>
      <c r="C26" t="s">
        <v>20</v>
      </c>
      <c r="D26">
        <v>100404</v>
      </c>
      <c r="F26">
        <v>21778</v>
      </c>
      <c r="G26">
        <v>21778</v>
      </c>
      <c r="H26">
        <v>12.25</v>
      </c>
      <c r="I26">
        <v>1777.7959183673399</v>
      </c>
      <c r="J26">
        <v>1777.7959183673399</v>
      </c>
      <c r="K26" t="s">
        <v>109</v>
      </c>
      <c r="L26">
        <v>959.76</v>
      </c>
      <c r="M26">
        <v>22.691089439026399</v>
      </c>
      <c r="N26">
        <v>185.23338317572501</v>
      </c>
      <c r="O26">
        <v>10.441089439026401</v>
      </c>
    </row>
    <row r="27" spans="1:15" hidden="1" x14ac:dyDescent="0.35">
      <c r="A27" t="s">
        <v>108</v>
      </c>
      <c r="B27" t="s">
        <v>52</v>
      </c>
      <c r="C27" t="s">
        <v>9</v>
      </c>
      <c r="D27">
        <v>100460</v>
      </c>
      <c r="F27">
        <v>21778</v>
      </c>
      <c r="G27">
        <v>21778</v>
      </c>
      <c r="H27">
        <v>15.75</v>
      </c>
      <c r="I27">
        <v>1382.7301587301499</v>
      </c>
      <c r="J27">
        <v>1382.7301587301499</v>
      </c>
      <c r="K27" t="s">
        <v>109</v>
      </c>
      <c r="L27">
        <v>0</v>
      </c>
      <c r="M27">
        <v>0</v>
      </c>
      <c r="N27">
        <v>0</v>
      </c>
      <c r="O27">
        <v>-15.75</v>
      </c>
    </row>
    <row r="28" spans="1:15" hidden="1" x14ac:dyDescent="0.35">
      <c r="A28" t="s">
        <v>108</v>
      </c>
      <c r="B28" t="s">
        <v>53</v>
      </c>
      <c r="C28" t="s">
        <v>1</v>
      </c>
      <c r="D28">
        <v>100440</v>
      </c>
      <c r="F28">
        <v>19414</v>
      </c>
      <c r="G28">
        <v>19414</v>
      </c>
      <c r="H28">
        <v>61.452777777777698</v>
      </c>
      <c r="I28">
        <v>315.91737106178999</v>
      </c>
      <c r="J28">
        <v>315.91737106178999</v>
      </c>
      <c r="K28" t="s">
        <v>109</v>
      </c>
      <c r="L28">
        <v>225.60999999999899</v>
      </c>
      <c r="M28">
        <v>86.051150214972694</v>
      </c>
      <c r="N28">
        <v>140.028088764589</v>
      </c>
      <c r="O28">
        <v>24.5983724371949</v>
      </c>
    </row>
    <row r="29" spans="1:15" hidden="1" x14ac:dyDescent="0.35">
      <c r="A29" t="s">
        <v>108</v>
      </c>
      <c r="B29" t="s">
        <v>53</v>
      </c>
      <c r="C29" t="s">
        <v>27</v>
      </c>
      <c r="D29">
        <v>100021</v>
      </c>
      <c r="E29" t="s">
        <v>110</v>
      </c>
      <c r="F29">
        <v>0</v>
      </c>
      <c r="G29">
        <v>0</v>
      </c>
      <c r="H29">
        <v>0</v>
      </c>
      <c r="I29">
        <v>0</v>
      </c>
      <c r="J29">
        <v>0</v>
      </c>
      <c r="K29" t="s">
        <v>109</v>
      </c>
      <c r="L29">
        <v>0</v>
      </c>
      <c r="M29">
        <v>0</v>
      </c>
      <c r="N29">
        <v>0</v>
      </c>
      <c r="O29">
        <v>0</v>
      </c>
    </row>
    <row r="30" spans="1:15" hidden="1" x14ac:dyDescent="0.35">
      <c r="A30" t="s">
        <v>108</v>
      </c>
      <c r="B30" t="s">
        <v>53</v>
      </c>
      <c r="C30" t="s">
        <v>27</v>
      </c>
      <c r="D30">
        <v>100021</v>
      </c>
      <c r="E30" t="s">
        <v>111</v>
      </c>
      <c r="F30">
        <v>5590</v>
      </c>
      <c r="G30">
        <v>5590</v>
      </c>
      <c r="H30">
        <v>20.385555555555499</v>
      </c>
      <c r="I30">
        <v>274.21376791846001</v>
      </c>
      <c r="J30">
        <v>274.21376791846001</v>
      </c>
      <c r="K30" t="s">
        <v>109</v>
      </c>
      <c r="L30">
        <v>325.04999999999899</v>
      </c>
      <c r="M30">
        <v>17.197354253191801</v>
      </c>
      <c r="N30">
        <v>84.360488515139394</v>
      </c>
      <c r="O30">
        <v>-3.1882013023637299</v>
      </c>
    </row>
    <row r="31" spans="1:15" hidden="1" x14ac:dyDescent="0.35">
      <c r="A31" t="s">
        <v>108</v>
      </c>
      <c r="B31" t="s">
        <v>53</v>
      </c>
      <c r="C31" t="s">
        <v>27</v>
      </c>
      <c r="D31">
        <v>100021</v>
      </c>
      <c r="E31" t="s">
        <v>112</v>
      </c>
      <c r="F31">
        <v>0</v>
      </c>
      <c r="G31">
        <v>0</v>
      </c>
      <c r="H31">
        <v>0</v>
      </c>
      <c r="I31">
        <v>0</v>
      </c>
      <c r="J31">
        <v>0</v>
      </c>
      <c r="K31" t="s">
        <v>109</v>
      </c>
      <c r="L31">
        <v>0</v>
      </c>
      <c r="M31">
        <v>0</v>
      </c>
      <c r="N31">
        <v>0</v>
      </c>
      <c r="O31">
        <v>0</v>
      </c>
    </row>
    <row r="32" spans="1:15" hidden="1" x14ac:dyDescent="0.35">
      <c r="A32" t="s">
        <v>108</v>
      </c>
      <c r="B32" t="s">
        <v>53</v>
      </c>
      <c r="C32" t="s">
        <v>27</v>
      </c>
      <c r="D32">
        <v>100021</v>
      </c>
      <c r="E32" t="s">
        <v>113</v>
      </c>
      <c r="F32">
        <v>0</v>
      </c>
      <c r="G32">
        <v>0</v>
      </c>
      <c r="H32">
        <v>0</v>
      </c>
      <c r="I32">
        <v>0</v>
      </c>
      <c r="J32">
        <v>0</v>
      </c>
      <c r="K32" t="s">
        <v>109</v>
      </c>
      <c r="L32">
        <v>0</v>
      </c>
      <c r="M32">
        <v>0</v>
      </c>
      <c r="N32">
        <v>0</v>
      </c>
      <c r="O32">
        <v>0</v>
      </c>
    </row>
    <row r="33" spans="1:15" hidden="1" x14ac:dyDescent="0.35">
      <c r="A33" t="s">
        <v>108</v>
      </c>
      <c r="B33" t="s">
        <v>53</v>
      </c>
      <c r="C33" t="s">
        <v>27</v>
      </c>
      <c r="D33">
        <v>100021</v>
      </c>
      <c r="E33" t="s">
        <v>114</v>
      </c>
      <c r="F33">
        <v>2808</v>
      </c>
      <c r="G33">
        <v>2808</v>
      </c>
      <c r="H33">
        <v>13.209444444444401</v>
      </c>
      <c r="I33">
        <v>212.575177692728</v>
      </c>
      <c r="J33">
        <v>212.575177692728</v>
      </c>
      <c r="K33" t="s">
        <v>109</v>
      </c>
      <c r="L33">
        <v>254.20999999999901</v>
      </c>
      <c r="M33">
        <v>11.0459856024546</v>
      </c>
      <c r="N33">
        <v>83.621878640780494</v>
      </c>
      <c r="O33">
        <v>-2.16345884198978</v>
      </c>
    </row>
    <row r="34" spans="1:15" hidden="1" x14ac:dyDescent="0.35">
      <c r="A34" t="s">
        <v>108</v>
      </c>
      <c r="B34" t="s">
        <v>53</v>
      </c>
      <c r="C34" t="s">
        <v>27</v>
      </c>
      <c r="D34">
        <v>100021</v>
      </c>
      <c r="E34" t="s">
        <v>115</v>
      </c>
      <c r="F34">
        <v>1003</v>
      </c>
      <c r="G34">
        <v>1003</v>
      </c>
      <c r="H34">
        <v>4.0191666666666599</v>
      </c>
      <c r="I34">
        <v>249.55421936554001</v>
      </c>
      <c r="J34">
        <v>249.55421936554001</v>
      </c>
      <c r="K34" t="s">
        <v>109</v>
      </c>
      <c r="L34">
        <v>183.629999999999</v>
      </c>
      <c r="M34">
        <v>5.4620704677884797</v>
      </c>
      <c r="N34">
        <v>135.90057145648299</v>
      </c>
      <c r="O34">
        <v>1.44290380112182</v>
      </c>
    </row>
    <row r="35" spans="1:15" hidden="1" x14ac:dyDescent="0.35">
      <c r="A35" t="s">
        <v>108</v>
      </c>
      <c r="B35" t="s">
        <v>53</v>
      </c>
      <c r="C35" t="s">
        <v>27</v>
      </c>
      <c r="D35">
        <v>100021</v>
      </c>
      <c r="E35" t="s">
        <v>116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109</v>
      </c>
      <c r="L35">
        <v>0</v>
      </c>
      <c r="M35">
        <v>0</v>
      </c>
      <c r="N35">
        <v>0</v>
      </c>
      <c r="O35">
        <v>0</v>
      </c>
    </row>
    <row r="36" spans="1:15" hidden="1" x14ac:dyDescent="0.35">
      <c r="A36" t="s">
        <v>108</v>
      </c>
      <c r="B36" t="s">
        <v>53</v>
      </c>
      <c r="C36" t="s">
        <v>27</v>
      </c>
      <c r="D36">
        <v>100021</v>
      </c>
      <c r="E36" t="s">
        <v>117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109</v>
      </c>
      <c r="L36">
        <v>0</v>
      </c>
      <c r="M36">
        <v>0</v>
      </c>
      <c r="N36">
        <v>0</v>
      </c>
      <c r="O36">
        <v>0</v>
      </c>
    </row>
    <row r="37" spans="1:15" hidden="1" x14ac:dyDescent="0.35">
      <c r="A37" t="s">
        <v>108</v>
      </c>
      <c r="B37" t="s">
        <v>53</v>
      </c>
      <c r="C37" t="s">
        <v>27</v>
      </c>
      <c r="D37">
        <v>100021</v>
      </c>
      <c r="E37" t="s">
        <v>118</v>
      </c>
      <c r="F37">
        <v>9797</v>
      </c>
      <c r="G37">
        <v>9797</v>
      </c>
      <c r="H37">
        <v>29.373333333333299</v>
      </c>
      <c r="I37">
        <v>333.53381752156099</v>
      </c>
      <c r="J37">
        <v>333.53381752156099</v>
      </c>
      <c r="K37" t="s">
        <v>109</v>
      </c>
      <c r="L37">
        <v>471.68</v>
      </c>
      <c r="M37">
        <v>20.770437584803201</v>
      </c>
      <c r="N37">
        <v>70.711884650941599</v>
      </c>
      <c r="O37">
        <v>-8.6028957485300808</v>
      </c>
    </row>
    <row r="38" spans="1:15" hidden="1" x14ac:dyDescent="0.35">
      <c r="A38" t="s">
        <v>108</v>
      </c>
      <c r="B38" t="s">
        <v>53</v>
      </c>
      <c r="C38" t="s">
        <v>27</v>
      </c>
      <c r="D38">
        <v>100021</v>
      </c>
      <c r="E38" t="s">
        <v>119</v>
      </c>
      <c r="F38">
        <v>1</v>
      </c>
      <c r="G38">
        <v>1</v>
      </c>
      <c r="H38">
        <v>1.3888888888888801E-3</v>
      </c>
      <c r="I38">
        <v>720</v>
      </c>
      <c r="J38">
        <v>720</v>
      </c>
      <c r="K38" t="s">
        <v>109</v>
      </c>
      <c r="L38">
        <v>251.6</v>
      </c>
      <c r="M38">
        <v>3.9745627980922096E-3</v>
      </c>
      <c r="N38">
        <v>286.16852146263898</v>
      </c>
      <c r="O38">
        <v>2.58567390920332E-3</v>
      </c>
    </row>
    <row r="39" spans="1:15" hidden="1" x14ac:dyDescent="0.35">
      <c r="A39" t="s">
        <v>108</v>
      </c>
      <c r="B39" t="s">
        <v>53</v>
      </c>
      <c r="C39" t="s">
        <v>27</v>
      </c>
      <c r="D39">
        <v>100021</v>
      </c>
      <c r="E39" t="s">
        <v>121</v>
      </c>
      <c r="F39">
        <v>0</v>
      </c>
      <c r="G39">
        <v>0</v>
      </c>
      <c r="H39">
        <v>0</v>
      </c>
      <c r="I39">
        <v>0</v>
      </c>
      <c r="J39">
        <v>0</v>
      </c>
      <c r="K39" t="s">
        <v>109</v>
      </c>
      <c r="L39">
        <v>0</v>
      </c>
      <c r="M39">
        <v>0</v>
      </c>
      <c r="N39">
        <v>0</v>
      </c>
      <c r="O39">
        <v>0</v>
      </c>
    </row>
    <row r="40" spans="1:15" hidden="1" x14ac:dyDescent="0.35">
      <c r="A40" t="s">
        <v>108</v>
      </c>
      <c r="B40" t="s">
        <v>53</v>
      </c>
      <c r="C40" t="s">
        <v>27</v>
      </c>
      <c r="D40">
        <v>100021</v>
      </c>
      <c r="E40" t="s">
        <v>122</v>
      </c>
      <c r="F40">
        <v>80</v>
      </c>
      <c r="G40">
        <v>80</v>
      </c>
      <c r="H40">
        <v>0.21472222222222201</v>
      </c>
      <c r="I40">
        <v>372.57438551099602</v>
      </c>
      <c r="J40">
        <v>372.57438551099602</v>
      </c>
      <c r="K40" t="s">
        <v>109</v>
      </c>
      <c r="L40">
        <v>325.05</v>
      </c>
      <c r="M40">
        <v>0.246115982156591</v>
      </c>
      <c r="N40">
        <v>114.620638520534</v>
      </c>
      <c r="O40">
        <v>3.1393759934368999E-2</v>
      </c>
    </row>
    <row r="41" spans="1:15" hidden="1" x14ac:dyDescent="0.35">
      <c r="A41" t="s">
        <v>108</v>
      </c>
      <c r="B41" t="s">
        <v>53</v>
      </c>
      <c r="C41" t="s">
        <v>27</v>
      </c>
      <c r="D41">
        <v>100021</v>
      </c>
      <c r="E41" t="s">
        <v>123</v>
      </c>
      <c r="F41">
        <v>0</v>
      </c>
      <c r="G41">
        <v>0</v>
      </c>
      <c r="H41">
        <v>0</v>
      </c>
      <c r="I41">
        <v>0</v>
      </c>
      <c r="J41">
        <v>0</v>
      </c>
      <c r="K41" t="s">
        <v>109</v>
      </c>
      <c r="L41">
        <v>0</v>
      </c>
      <c r="M41">
        <v>0</v>
      </c>
      <c r="N41">
        <v>0</v>
      </c>
      <c r="O41">
        <v>0</v>
      </c>
    </row>
    <row r="42" spans="1:15" hidden="1" x14ac:dyDescent="0.35">
      <c r="A42" t="s">
        <v>108</v>
      </c>
      <c r="B42" t="s">
        <v>53</v>
      </c>
      <c r="C42" t="s">
        <v>27</v>
      </c>
      <c r="D42">
        <v>100021</v>
      </c>
      <c r="E42" t="s">
        <v>124</v>
      </c>
      <c r="F42">
        <v>0</v>
      </c>
      <c r="G42">
        <v>0</v>
      </c>
      <c r="H42">
        <v>0</v>
      </c>
      <c r="I42">
        <v>0</v>
      </c>
      <c r="J42">
        <v>0</v>
      </c>
      <c r="K42" t="s">
        <v>109</v>
      </c>
      <c r="L42">
        <v>0</v>
      </c>
      <c r="M42">
        <v>0</v>
      </c>
      <c r="N42">
        <v>0</v>
      </c>
      <c r="O42">
        <v>0</v>
      </c>
    </row>
    <row r="43" spans="1:15" hidden="1" x14ac:dyDescent="0.35">
      <c r="A43" t="s">
        <v>108</v>
      </c>
      <c r="B43" t="s">
        <v>53</v>
      </c>
      <c r="C43" t="s">
        <v>27</v>
      </c>
      <c r="D43">
        <v>100021</v>
      </c>
      <c r="E43" t="s">
        <v>125</v>
      </c>
      <c r="F43">
        <v>30</v>
      </c>
      <c r="G43">
        <v>30</v>
      </c>
      <c r="H43">
        <v>5.5277777777777697E-2</v>
      </c>
      <c r="I43">
        <v>542.713567839196</v>
      </c>
      <c r="J43">
        <v>542.713567839196</v>
      </c>
      <c r="K43" t="s">
        <v>109</v>
      </c>
      <c r="L43">
        <v>254.21</v>
      </c>
      <c r="M43">
        <v>0.118012666692891</v>
      </c>
      <c r="N43">
        <v>213.490251303723</v>
      </c>
      <c r="O43">
        <v>6.2734888915113904E-2</v>
      </c>
    </row>
    <row r="44" spans="1:15" hidden="1" x14ac:dyDescent="0.35">
      <c r="A44" t="s">
        <v>108</v>
      </c>
      <c r="B44" t="s">
        <v>53</v>
      </c>
      <c r="C44" t="s">
        <v>27</v>
      </c>
      <c r="D44">
        <v>100021</v>
      </c>
      <c r="E44" t="s">
        <v>126</v>
      </c>
      <c r="F44">
        <v>11</v>
      </c>
      <c r="G44">
        <v>11</v>
      </c>
      <c r="H44">
        <v>0.26166666666666599</v>
      </c>
      <c r="I44">
        <v>42.038216560509497</v>
      </c>
      <c r="J44">
        <v>42.038216560509497</v>
      </c>
      <c r="K44" t="s">
        <v>109</v>
      </c>
      <c r="L44">
        <v>183.629999999999</v>
      </c>
      <c r="M44">
        <v>5.9903065947829799E-2</v>
      </c>
      <c r="N44">
        <v>22.8928914450305</v>
      </c>
      <c r="O44">
        <v>-0.20176360071883601</v>
      </c>
    </row>
    <row r="45" spans="1:15" hidden="1" x14ac:dyDescent="0.35">
      <c r="A45" t="s">
        <v>108</v>
      </c>
      <c r="B45" t="s">
        <v>53</v>
      </c>
      <c r="C45" t="s">
        <v>27</v>
      </c>
      <c r="D45">
        <v>100021</v>
      </c>
      <c r="E45" t="s">
        <v>127</v>
      </c>
      <c r="F45">
        <v>0</v>
      </c>
      <c r="G45">
        <v>0</v>
      </c>
      <c r="H45">
        <v>0</v>
      </c>
      <c r="I45">
        <v>0</v>
      </c>
      <c r="J45">
        <v>0</v>
      </c>
      <c r="K45" t="s">
        <v>109</v>
      </c>
      <c r="L45">
        <v>0</v>
      </c>
      <c r="M45">
        <v>0</v>
      </c>
      <c r="N45">
        <v>0</v>
      </c>
      <c r="O45">
        <v>0</v>
      </c>
    </row>
    <row r="46" spans="1:15" hidden="1" x14ac:dyDescent="0.35">
      <c r="A46" t="s">
        <v>108</v>
      </c>
      <c r="B46" t="s">
        <v>53</v>
      </c>
      <c r="C46" t="s">
        <v>27</v>
      </c>
      <c r="D46">
        <v>100021</v>
      </c>
      <c r="E46" t="s">
        <v>128</v>
      </c>
      <c r="F46">
        <v>0</v>
      </c>
      <c r="G46">
        <v>0</v>
      </c>
      <c r="H46">
        <v>0</v>
      </c>
      <c r="I46">
        <v>0</v>
      </c>
      <c r="J46">
        <v>0</v>
      </c>
      <c r="K46" t="s">
        <v>109</v>
      </c>
      <c r="L46">
        <v>0</v>
      </c>
      <c r="M46">
        <v>0</v>
      </c>
      <c r="N46">
        <v>0</v>
      </c>
      <c r="O46">
        <v>0</v>
      </c>
    </row>
    <row r="47" spans="1:15" hidden="1" x14ac:dyDescent="0.35">
      <c r="A47" t="s">
        <v>108</v>
      </c>
      <c r="B47" t="s">
        <v>53</v>
      </c>
      <c r="C47" t="s">
        <v>27</v>
      </c>
      <c r="D47">
        <v>100021</v>
      </c>
      <c r="E47" t="s">
        <v>129</v>
      </c>
      <c r="F47">
        <v>94</v>
      </c>
      <c r="G47">
        <v>94</v>
      </c>
      <c r="H47">
        <v>0.12</v>
      </c>
      <c r="I47">
        <v>783.33333333333303</v>
      </c>
      <c r="J47">
        <v>783.33333333333303</v>
      </c>
      <c r="K47" t="s">
        <v>109</v>
      </c>
      <c r="L47">
        <v>471.68</v>
      </c>
      <c r="M47">
        <v>0.19928765264586101</v>
      </c>
      <c r="N47">
        <v>166.07304387155099</v>
      </c>
      <c r="O47">
        <v>7.92876526458616E-2</v>
      </c>
    </row>
    <row r="48" spans="1:15" hidden="1" x14ac:dyDescent="0.35">
      <c r="A48" t="s">
        <v>108</v>
      </c>
      <c r="B48" t="s">
        <v>53</v>
      </c>
      <c r="C48" t="s">
        <v>27</v>
      </c>
      <c r="D48">
        <v>100021</v>
      </c>
      <c r="E48" t="s">
        <v>130</v>
      </c>
      <c r="F48">
        <v>0</v>
      </c>
      <c r="G48">
        <v>0</v>
      </c>
      <c r="H48">
        <v>0</v>
      </c>
      <c r="I48">
        <v>0</v>
      </c>
      <c r="J48">
        <v>0</v>
      </c>
      <c r="K48" t="s">
        <v>109</v>
      </c>
      <c r="L48">
        <v>0</v>
      </c>
      <c r="M48">
        <v>0</v>
      </c>
      <c r="N48">
        <v>0</v>
      </c>
      <c r="O48">
        <v>0</v>
      </c>
    </row>
    <row r="49" spans="1:15" hidden="1" x14ac:dyDescent="0.35">
      <c r="A49" t="s">
        <v>108</v>
      </c>
      <c r="B49" t="s">
        <v>53</v>
      </c>
      <c r="C49" t="s">
        <v>25</v>
      </c>
      <c r="D49">
        <v>100461</v>
      </c>
      <c r="F49">
        <v>19414</v>
      </c>
      <c r="G49">
        <v>19414</v>
      </c>
      <c r="H49">
        <v>9.0833333333333304</v>
      </c>
      <c r="I49">
        <v>2137.3211009174302</v>
      </c>
      <c r="J49">
        <v>2137.3211009174302</v>
      </c>
      <c r="K49" t="s">
        <v>109</v>
      </c>
      <c r="L49">
        <v>0</v>
      </c>
      <c r="M49">
        <v>0</v>
      </c>
      <c r="N49">
        <v>0</v>
      </c>
      <c r="O49">
        <v>-9.0833333333333304</v>
      </c>
    </row>
    <row r="50" spans="1:15" hidden="1" x14ac:dyDescent="0.35">
      <c r="A50" t="s">
        <v>108</v>
      </c>
      <c r="B50" t="s">
        <v>54</v>
      </c>
      <c r="C50" t="s">
        <v>32</v>
      </c>
      <c r="D50">
        <v>100407</v>
      </c>
      <c r="E50" t="s">
        <v>110</v>
      </c>
      <c r="F50">
        <v>0</v>
      </c>
      <c r="G50">
        <v>0</v>
      </c>
      <c r="H50">
        <v>0</v>
      </c>
      <c r="I50">
        <v>0</v>
      </c>
      <c r="J50">
        <v>0</v>
      </c>
      <c r="K50" t="s">
        <v>109</v>
      </c>
      <c r="L50">
        <v>0</v>
      </c>
      <c r="M50">
        <v>0</v>
      </c>
      <c r="N50">
        <v>0</v>
      </c>
      <c r="O50">
        <v>0</v>
      </c>
    </row>
    <row r="51" spans="1:15" hidden="1" x14ac:dyDescent="0.35">
      <c r="A51" t="s">
        <v>108</v>
      </c>
      <c r="B51" t="s">
        <v>54</v>
      </c>
      <c r="C51" t="s">
        <v>32</v>
      </c>
      <c r="D51">
        <v>100407</v>
      </c>
      <c r="E51" t="s">
        <v>121</v>
      </c>
      <c r="F51">
        <v>0</v>
      </c>
      <c r="G51">
        <v>0</v>
      </c>
      <c r="H51">
        <v>0</v>
      </c>
      <c r="I51">
        <v>0</v>
      </c>
      <c r="J51">
        <v>0</v>
      </c>
      <c r="K51" t="s">
        <v>109</v>
      </c>
      <c r="L51">
        <v>0</v>
      </c>
      <c r="M51">
        <v>0</v>
      </c>
      <c r="N51">
        <v>0</v>
      </c>
      <c r="O51">
        <v>0</v>
      </c>
    </row>
    <row r="52" spans="1:15" hidden="1" x14ac:dyDescent="0.35">
      <c r="A52" t="s">
        <v>108</v>
      </c>
      <c r="B52" t="s">
        <v>54</v>
      </c>
      <c r="C52" t="s">
        <v>32</v>
      </c>
      <c r="D52">
        <v>100407</v>
      </c>
      <c r="E52" t="s">
        <v>132</v>
      </c>
      <c r="F52">
        <v>0</v>
      </c>
      <c r="G52">
        <v>0</v>
      </c>
      <c r="H52">
        <v>0</v>
      </c>
      <c r="I52">
        <v>0</v>
      </c>
      <c r="J52">
        <v>0</v>
      </c>
      <c r="K52" t="s">
        <v>109</v>
      </c>
      <c r="L52">
        <v>0</v>
      </c>
      <c r="M52">
        <v>0</v>
      </c>
      <c r="N52">
        <v>0</v>
      </c>
      <c r="O52">
        <v>0</v>
      </c>
    </row>
    <row r="53" spans="1:15" hidden="1" x14ac:dyDescent="0.35">
      <c r="A53" t="s">
        <v>108</v>
      </c>
      <c r="B53" t="s">
        <v>54</v>
      </c>
      <c r="C53" t="s">
        <v>32</v>
      </c>
      <c r="D53">
        <v>100407</v>
      </c>
      <c r="E53" t="s">
        <v>133</v>
      </c>
      <c r="F53">
        <v>0</v>
      </c>
      <c r="G53">
        <v>0</v>
      </c>
      <c r="H53">
        <v>0</v>
      </c>
      <c r="I53">
        <v>0</v>
      </c>
      <c r="J53">
        <v>0</v>
      </c>
      <c r="K53" t="s">
        <v>109</v>
      </c>
      <c r="L53">
        <v>0</v>
      </c>
      <c r="M53">
        <v>0</v>
      </c>
      <c r="N53">
        <v>0</v>
      </c>
      <c r="O53">
        <v>0</v>
      </c>
    </row>
    <row r="54" spans="1:15" hidden="1" x14ac:dyDescent="0.35">
      <c r="A54" t="s">
        <v>108</v>
      </c>
      <c r="B54" t="s">
        <v>54</v>
      </c>
      <c r="C54" t="s">
        <v>32</v>
      </c>
      <c r="D54">
        <v>100407</v>
      </c>
      <c r="E54" t="s">
        <v>134</v>
      </c>
      <c r="F54">
        <v>0</v>
      </c>
      <c r="G54">
        <v>0</v>
      </c>
      <c r="H54">
        <v>0</v>
      </c>
      <c r="I54">
        <v>0</v>
      </c>
      <c r="J54">
        <v>0</v>
      </c>
      <c r="K54" t="s">
        <v>109</v>
      </c>
      <c r="L54">
        <v>0</v>
      </c>
      <c r="M54">
        <v>0</v>
      </c>
      <c r="N54">
        <v>0</v>
      </c>
      <c r="O54">
        <v>0</v>
      </c>
    </row>
    <row r="55" spans="1:15" hidden="1" x14ac:dyDescent="0.35">
      <c r="A55" t="s">
        <v>108</v>
      </c>
      <c r="B55" t="s">
        <v>54</v>
      </c>
      <c r="C55" t="s">
        <v>32</v>
      </c>
      <c r="D55">
        <v>100407</v>
      </c>
      <c r="E55" t="s">
        <v>135</v>
      </c>
      <c r="F55">
        <v>0</v>
      </c>
      <c r="G55">
        <v>0</v>
      </c>
      <c r="H55">
        <v>0</v>
      </c>
      <c r="I55">
        <v>0</v>
      </c>
      <c r="J55">
        <v>0</v>
      </c>
      <c r="K55" t="s">
        <v>109</v>
      </c>
      <c r="L55">
        <v>0</v>
      </c>
      <c r="M55">
        <v>0</v>
      </c>
      <c r="N55">
        <v>0</v>
      </c>
      <c r="O55">
        <v>0</v>
      </c>
    </row>
    <row r="56" spans="1:15" hidden="1" x14ac:dyDescent="0.35">
      <c r="A56" t="s">
        <v>108</v>
      </c>
      <c r="B56" t="s">
        <v>54</v>
      </c>
      <c r="C56" t="s">
        <v>32</v>
      </c>
      <c r="D56">
        <v>100407</v>
      </c>
      <c r="E56" t="s">
        <v>136</v>
      </c>
      <c r="F56">
        <v>4793</v>
      </c>
      <c r="G56">
        <v>4793</v>
      </c>
      <c r="H56">
        <v>70.679722222222196</v>
      </c>
      <c r="I56">
        <v>67.812943363450898</v>
      </c>
      <c r="J56">
        <v>67.812943363450898</v>
      </c>
      <c r="K56" t="s">
        <v>109</v>
      </c>
      <c r="L56">
        <v>612.67999999999904</v>
      </c>
      <c r="M56">
        <v>7.8230071162760302</v>
      </c>
      <c r="N56">
        <v>11.068248247609001</v>
      </c>
      <c r="O56">
        <v>-62.856715105946101</v>
      </c>
    </row>
    <row r="57" spans="1:15" hidden="1" x14ac:dyDescent="0.35">
      <c r="A57" t="s">
        <v>108</v>
      </c>
      <c r="B57" t="s">
        <v>54</v>
      </c>
      <c r="C57" t="s">
        <v>32</v>
      </c>
      <c r="D57">
        <v>100407</v>
      </c>
      <c r="E57" t="s">
        <v>137</v>
      </c>
      <c r="F57">
        <v>92</v>
      </c>
      <c r="G57">
        <v>92</v>
      </c>
      <c r="H57">
        <v>2.6675</v>
      </c>
      <c r="I57">
        <v>34.489222118088101</v>
      </c>
      <c r="J57">
        <v>34.489222118088101</v>
      </c>
      <c r="K57" t="s">
        <v>109</v>
      </c>
      <c r="L57">
        <v>612.67999999999995</v>
      </c>
      <c r="M57">
        <v>0.15015995299340601</v>
      </c>
      <c r="N57">
        <v>5.6292391000339599</v>
      </c>
      <c r="O57">
        <v>-2.5173400470065901</v>
      </c>
    </row>
    <row r="58" spans="1:15" hidden="1" x14ac:dyDescent="0.35">
      <c r="A58" t="s">
        <v>108</v>
      </c>
      <c r="B58" t="s">
        <v>54</v>
      </c>
      <c r="C58" t="s">
        <v>32</v>
      </c>
      <c r="D58">
        <v>100407</v>
      </c>
      <c r="E58" t="s">
        <v>138</v>
      </c>
      <c r="F58">
        <v>0</v>
      </c>
      <c r="G58">
        <v>0</v>
      </c>
      <c r="H58">
        <v>0</v>
      </c>
      <c r="I58">
        <v>0</v>
      </c>
      <c r="J58">
        <v>0</v>
      </c>
      <c r="K58" t="s">
        <v>109</v>
      </c>
      <c r="L58">
        <v>0</v>
      </c>
      <c r="M58">
        <v>0</v>
      </c>
      <c r="N58">
        <v>0</v>
      </c>
      <c r="O58">
        <v>0</v>
      </c>
    </row>
    <row r="59" spans="1:15" hidden="1" x14ac:dyDescent="0.35">
      <c r="A59" t="s">
        <v>108</v>
      </c>
      <c r="B59" t="s">
        <v>54</v>
      </c>
      <c r="C59" t="s">
        <v>32</v>
      </c>
      <c r="D59">
        <v>100407</v>
      </c>
      <c r="E59" t="s">
        <v>139</v>
      </c>
      <c r="F59">
        <v>0</v>
      </c>
      <c r="G59">
        <v>0</v>
      </c>
      <c r="H59">
        <v>0</v>
      </c>
      <c r="I59">
        <v>0</v>
      </c>
      <c r="J59">
        <v>0</v>
      </c>
      <c r="K59" t="s">
        <v>109</v>
      </c>
      <c r="L59">
        <v>0</v>
      </c>
      <c r="M59">
        <v>0</v>
      </c>
      <c r="N59">
        <v>0</v>
      </c>
      <c r="O59">
        <v>0</v>
      </c>
    </row>
    <row r="60" spans="1:15" hidden="1" x14ac:dyDescent="0.35">
      <c r="A60" t="s">
        <v>108</v>
      </c>
      <c r="B60" t="s">
        <v>54</v>
      </c>
      <c r="C60" t="s">
        <v>32</v>
      </c>
      <c r="D60">
        <v>100407</v>
      </c>
      <c r="E60" t="s">
        <v>140</v>
      </c>
      <c r="F60">
        <v>2530</v>
      </c>
      <c r="G60">
        <v>36877</v>
      </c>
      <c r="H60">
        <v>64.206388888888895</v>
      </c>
      <c r="I60">
        <v>39.404178365773497</v>
      </c>
      <c r="J60">
        <v>574.35094292277904</v>
      </c>
      <c r="K60" t="s">
        <v>109</v>
      </c>
      <c r="L60">
        <v>612.67999999999995</v>
      </c>
      <c r="M60">
        <v>4.1293987073186598</v>
      </c>
      <c r="N60">
        <v>6.4314451860307997</v>
      </c>
      <c r="O60">
        <v>-60.076990181570203</v>
      </c>
    </row>
    <row r="61" spans="1:15" hidden="1" x14ac:dyDescent="0.35">
      <c r="A61" t="s">
        <v>108</v>
      </c>
      <c r="B61" t="s">
        <v>54</v>
      </c>
      <c r="C61" t="s">
        <v>32</v>
      </c>
      <c r="D61">
        <v>100407</v>
      </c>
      <c r="E61" t="s">
        <v>141</v>
      </c>
      <c r="F61">
        <v>49</v>
      </c>
      <c r="G61">
        <v>700</v>
      </c>
      <c r="H61">
        <v>3.8174999999999999</v>
      </c>
      <c r="I61">
        <v>12.835625409299199</v>
      </c>
      <c r="J61">
        <v>183.36607727570399</v>
      </c>
      <c r="K61" t="s">
        <v>109</v>
      </c>
      <c r="L61">
        <v>612.67999999999904</v>
      </c>
      <c r="M61">
        <v>7.99764967030097E-2</v>
      </c>
      <c r="N61">
        <v>2.0949966392405899</v>
      </c>
      <c r="O61">
        <v>-3.7375235032969898</v>
      </c>
    </row>
    <row r="62" spans="1:15" hidden="1" x14ac:dyDescent="0.35">
      <c r="A62" t="s">
        <v>108</v>
      </c>
      <c r="B62" t="s">
        <v>54</v>
      </c>
      <c r="C62" t="s">
        <v>142</v>
      </c>
      <c r="D62">
        <v>100472</v>
      </c>
      <c r="E62" t="s">
        <v>143</v>
      </c>
      <c r="F62">
        <v>0</v>
      </c>
      <c r="G62">
        <v>0</v>
      </c>
      <c r="H62">
        <v>0</v>
      </c>
      <c r="I62">
        <v>0</v>
      </c>
      <c r="J62">
        <v>0</v>
      </c>
      <c r="K62" t="s">
        <v>109</v>
      </c>
      <c r="L62">
        <v>0</v>
      </c>
      <c r="M62">
        <v>0</v>
      </c>
      <c r="N62">
        <v>0</v>
      </c>
      <c r="O62">
        <v>0</v>
      </c>
    </row>
    <row r="63" spans="1:15" hidden="1" x14ac:dyDescent="0.35">
      <c r="A63" t="s">
        <v>108</v>
      </c>
      <c r="B63" t="s">
        <v>54</v>
      </c>
      <c r="C63" t="s">
        <v>142</v>
      </c>
      <c r="D63">
        <v>100472</v>
      </c>
      <c r="E63" t="s">
        <v>144</v>
      </c>
      <c r="F63">
        <v>0</v>
      </c>
      <c r="G63">
        <v>0</v>
      </c>
      <c r="H63">
        <v>0</v>
      </c>
      <c r="I63">
        <v>0</v>
      </c>
      <c r="J63">
        <v>0</v>
      </c>
      <c r="K63" t="s">
        <v>109</v>
      </c>
      <c r="L63">
        <v>0</v>
      </c>
      <c r="M63">
        <v>0</v>
      </c>
      <c r="N63">
        <v>0</v>
      </c>
      <c r="O63">
        <v>0</v>
      </c>
    </row>
    <row r="64" spans="1:15" hidden="1" x14ac:dyDescent="0.35">
      <c r="A64" t="s">
        <v>108</v>
      </c>
      <c r="B64" t="s">
        <v>54</v>
      </c>
      <c r="C64" t="s">
        <v>142</v>
      </c>
      <c r="D64">
        <v>100472</v>
      </c>
      <c r="E64" t="s">
        <v>145</v>
      </c>
      <c r="F64">
        <v>0</v>
      </c>
      <c r="G64">
        <v>0</v>
      </c>
      <c r="H64">
        <v>0</v>
      </c>
      <c r="I64">
        <v>0</v>
      </c>
      <c r="J64">
        <v>0</v>
      </c>
      <c r="K64" t="s">
        <v>109</v>
      </c>
      <c r="L64">
        <v>0</v>
      </c>
      <c r="M64">
        <v>0</v>
      </c>
      <c r="N64">
        <v>0</v>
      </c>
      <c r="O64">
        <v>0</v>
      </c>
    </row>
    <row r="65" spans="1:15" hidden="1" x14ac:dyDescent="0.35">
      <c r="A65" t="s">
        <v>108</v>
      </c>
      <c r="B65" t="s">
        <v>54</v>
      </c>
      <c r="C65" t="s">
        <v>142</v>
      </c>
      <c r="D65">
        <v>100472</v>
      </c>
      <c r="E65" t="s">
        <v>146</v>
      </c>
      <c r="F65">
        <v>0</v>
      </c>
      <c r="G65">
        <v>0</v>
      </c>
      <c r="H65">
        <v>0</v>
      </c>
      <c r="I65">
        <v>0</v>
      </c>
      <c r="J65">
        <v>0</v>
      </c>
      <c r="K65" t="s">
        <v>109</v>
      </c>
      <c r="L65">
        <v>0</v>
      </c>
      <c r="M65">
        <v>0</v>
      </c>
      <c r="N65">
        <v>0</v>
      </c>
      <c r="O65">
        <v>0</v>
      </c>
    </row>
    <row r="66" spans="1:15" hidden="1" x14ac:dyDescent="0.35">
      <c r="A66" t="s">
        <v>108</v>
      </c>
      <c r="B66" t="s">
        <v>54</v>
      </c>
      <c r="C66" t="s">
        <v>142</v>
      </c>
      <c r="D66">
        <v>100472</v>
      </c>
      <c r="E66" t="s">
        <v>147</v>
      </c>
      <c r="F66">
        <v>0</v>
      </c>
      <c r="G66">
        <v>0</v>
      </c>
      <c r="H66">
        <v>0</v>
      </c>
      <c r="I66">
        <v>0</v>
      </c>
      <c r="J66">
        <v>0</v>
      </c>
      <c r="K66" t="s">
        <v>109</v>
      </c>
      <c r="L66">
        <v>0</v>
      </c>
      <c r="M66">
        <v>0</v>
      </c>
      <c r="N66">
        <v>0</v>
      </c>
      <c r="O66">
        <v>0</v>
      </c>
    </row>
    <row r="67" spans="1:15" hidden="1" x14ac:dyDescent="0.35">
      <c r="A67" t="s">
        <v>108</v>
      </c>
      <c r="B67" t="s">
        <v>54</v>
      </c>
      <c r="C67" t="s">
        <v>142</v>
      </c>
      <c r="D67">
        <v>100472</v>
      </c>
      <c r="E67" t="s">
        <v>148</v>
      </c>
      <c r="F67">
        <v>0</v>
      </c>
      <c r="G67">
        <v>0</v>
      </c>
      <c r="H67">
        <v>0</v>
      </c>
      <c r="I67">
        <v>0</v>
      </c>
      <c r="J67">
        <v>0</v>
      </c>
      <c r="K67" t="s">
        <v>109</v>
      </c>
      <c r="L67">
        <v>0</v>
      </c>
      <c r="M67">
        <v>0</v>
      </c>
      <c r="N67">
        <v>0</v>
      </c>
      <c r="O67">
        <v>0</v>
      </c>
    </row>
    <row r="68" spans="1:15" hidden="1" x14ac:dyDescent="0.35">
      <c r="A68" t="s">
        <v>108</v>
      </c>
      <c r="B68" t="s">
        <v>54</v>
      </c>
      <c r="C68" t="s">
        <v>142</v>
      </c>
      <c r="D68">
        <v>100472</v>
      </c>
      <c r="E68" t="s">
        <v>149</v>
      </c>
      <c r="F68">
        <v>0</v>
      </c>
      <c r="G68">
        <v>0</v>
      </c>
      <c r="H68">
        <v>0</v>
      </c>
      <c r="I68">
        <v>0</v>
      </c>
      <c r="J68">
        <v>0</v>
      </c>
      <c r="K68" t="s">
        <v>109</v>
      </c>
      <c r="L68">
        <v>0</v>
      </c>
      <c r="M68">
        <v>0</v>
      </c>
      <c r="N68">
        <v>0</v>
      </c>
      <c r="O68">
        <v>0</v>
      </c>
    </row>
    <row r="69" spans="1:15" hidden="1" x14ac:dyDescent="0.35">
      <c r="A69" t="s">
        <v>108</v>
      </c>
      <c r="B69" t="s">
        <v>54</v>
      </c>
      <c r="C69" t="s">
        <v>142</v>
      </c>
      <c r="D69">
        <v>100472</v>
      </c>
      <c r="E69" t="s">
        <v>150</v>
      </c>
      <c r="F69">
        <v>0</v>
      </c>
      <c r="G69">
        <v>0</v>
      </c>
      <c r="H69">
        <v>0</v>
      </c>
      <c r="I69">
        <v>0</v>
      </c>
      <c r="J69">
        <v>0</v>
      </c>
      <c r="K69" t="s">
        <v>109</v>
      </c>
      <c r="L69">
        <v>0</v>
      </c>
      <c r="M69">
        <v>0</v>
      </c>
      <c r="N69">
        <v>0</v>
      </c>
      <c r="O69">
        <v>0</v>
      </c>
    </row>
    <row r="70" spans="1:15" hidden="1" x14ac:dyDescent="0.35">
      <c r="A70" t="s">
        <v>108</v>
      </c>
      <c r="B70" t="s">
        <v>54</v>
      </c>
      <c r="C70" t="s">
        <v>142</v>
      </c>
      <c r="D70">
        <v>100472</v>
      </c>
      <c r="E70" t="s">
        <v>151</v>
      </c>
      <c r="F70">
        <v>0</v>
      </c>
      <c r="G70">
        <v>0</v>
      </c>
      <c r="H70">
        <v>0</v>
      </c>
      <c r="I70">
        <v>0</v>
      </c>
      <c r="J70">
        <v>0</v>
      </c>
      <c r="K70" t="s">
        <v>109</v>
      </c>
      <c r="L70">
        <v>0</v>
      </c>
      <c r="M70">
        <v>0</v>
      </c>
      <c r="N70">
        <v>0</v>
      </c>
      <c r="O70">
        <v>0</v>
      </c>
    </row>
    <row r="71" spans="1:15" hidden="1" x14ac:dyDescent="0.35">
      <c r="A71" t="s">
        <v>108</v>
      </c>
      <c r="B71" t="s">
        <v>54</v>
      </c>
      <c r="C71" t="s">
        <v>142</v>
      </c>
      <c r="D71">
        <v>100472</v>
      </c>
      <c r="E71" t="s">
        <v>152</v>
      </c>
      <c r="F71">
        <v>0</v>
      </c>
      <c r="G71">
        <v>0</v>
      </c>
      <c r="H71">
        <v>0</v>
      </c>
      <c r="I71">
        <v>0</v>
      </c>
      <c r="J71">
        <v>0</v>
      </c>
      <c r="K71" t="s">
        <v>109</v>
      </c>
      <c r="L71">
        <v>0</v>
      </c>
      <c r="M71">
        <v>0</v>
      </c>
      <c r="N71">
        <v>0</v>
      </c>
      <c r="O71">
        <v>0</v>
      </c>
    </row>
    <row r="72" spans="1:15" hidden="1" x14ac:dyDescent="0.35">
      <c r="A72" t="s">
        <v>108</v>
      </c>
      <c r="B72" t="s">
        <v>54</v>
      </c>
      <c r="C72" t="s">
        <v>142</v>
      </c>
      <c r="D72">
        <v>100472</v>
      </c>
      <c r="E72" t="s">
        <v>153</v>
      </c>
      <c r="F72">
        <v>0</v>
      </c>
      <c r="G72">
        <v>0</v>
      </c>
      <c r="H72">
        <v>0</v>
      </c>
      <c r="I72">
        <v>0</v>
      </c>
      <c r="J72">
        <v>0</v>
      </c>
      <c r="K72" t="s">
        <v>109</v>
      </c>
      <c r="L72">
        <v>0</v>
      </c>
      <c r="M72">
        <v>0</v>
      </c>
      <c r="N72">
        <v>0</v>
      </c>
      <c r="O72">
        <v>0</v>
      </c>
    </row>
    <row r="73" spans="1:15" hidden="1" x14ac:dyDescent="0.35">
      <c r="A73" t="s">
        <v>108</v>
      </c>
      <c r="B73" t="s">
        <v>54</v>
      </c>
      <c r="C73" t="s">
        <v>142</v>
      </c>
      <c r="D73">
        <v>100472</v>
      </c>
      <c r="E73" t="s">
        <v>154</v>
      </c>
      <c r="F73">
        <v>0</v>
      </c>
      <c r="G73">
        <v>0</v>
      </c>
      <c r="H73">
        <v>0</v>
      </c>
      <c r="I73">
        <v>0</v>
      </c>
      <c r="J73">
        <v>0</v>
      </c>
      <c r="K73" t="s">
        <v>109</v>
      </c>
      <c r="L73">
        <v>0</v>
      </c>
      <c r="M73">
        <v>0</v>
      </c>
      <c r="N73">
        <v>0</v>
      </c>
      <c r="O73">
        <v>0</v>
      </c>
    </row>
    <row r="74" spans="1:15" hidden="1" x14ac:dyDescent="0.35">
      <c r="A74" t="s">
        <v>108</v>
      </c>
      <c r="B74" t="s">
        <v>54</v>
      </c>
      <c r="C74" t="s">
        <v>142</v>
      </c>
      <c r="D74">
        <v>100472</v>
      </c>
      <c r="E74" t="s">
        <v>155</v>
      </c>
      <c r="F74">
        <v>0</v>
      </c>
      <c r="G74">
        <v>0</v>
      </c>
      <c r="H74">
        <v>0</v>
      </c>
      <c r="I74">
        <v>0</v>
      </c>
      <c r="J74">
        <v>0</v>
      </c>
      <c r="K74" t="s">
        <v>109</v>
      </c>
      <c r="L74">
        <v>0</v>
      </c>
      <c r="M74">
        <v>0</v>
      </c>
      <c r="N74">
        <v>0</v>
      </c>
      <c r="O74">
        <v>0</v>
      </c>
    </row>
    <row r="75" spans="1:15" hidden="1" x14ac:dyDescent="0.35">
      <c r="A75" t="s">
        <v>108</v>
      </c>
      <c r="B75" t="s">
        <v>54</v>
      </c>
      <c r="C75" t="s">
        <v>142</v>
      </c>
      <c r="D75">
        <v>100472</v>
      </c>
      <c r="E75" t="s">
        <v>156</v>
      </c>
      <c r="F75">
        <v>0</v>
      </c>
      <c r="G75">
        <v>0</v>
      </c>
      <c r="H75">
        <v>0</v>
      </c>
      <c r="I75">
        <v>0</v>
      </c>
      <c r="J75">
        <v>0</v>
      </c>
      <c r="K75" t="s">
        <v>109</v>
      </c>
      <c r="L75">
        <v>0</v>
      </c>
      <c r="M75">
        <v>0</v>
      </c>
      <c r="N75">
        <v>0</v>
      </c>
      <c r="O75">
        <v>0</v>
      </c>
    </row>
    <row r="76" spans="1:15" hidden="1" x14ac:dyDescent="0.35">
      <c r="A76" t="s">
        <v>108</v>
      </c>
      <c r="B76" t="s">
        <v>54</v>
      </c>
      <c r="C76" t="s">
        <v>142</v>
      </c>
      <c r="D76">
        <v>100472</v>
      </c>
      <c r="E76" t="s">
        <v>157</v>
      </c>
      <c r="F76">
        <v>0</v>
      </c>
      <c r="G76">
        <v>0</v>
      </c>
      <c r="H76">
        <v>0</v>
      </c>
      <c r="I76">
        <v>0</v>
      </c>
      <c r="J76">
        <v>0</v>
      </c>
      <c r="K76" t="s">
        <v>109</v>
      </c>
      <c r="L76">
        <v>0</v>
      </c>
      <c r="M76">
        <v>0</v>
      </c>
      <c r="N76">
        <v>0</v>
      </c>
      <c r="O76">
        <v>0</v>
      </c>
    </row>
    <row r="77" spans="1:15" hidden="1" x14ac:dyDescent="0.35">
      <c r="A77" t="s">
        <v>108</v>
      </c>
      <c r="B77" t="s">
        <v>54</v>
      </c>
      <c r="C77" t="s">
        <v>142</v>
      </c>
      <c r="D77">
        <v>100472</v>
      </c>
      <c r="E77" t="s">
        <v>158</v>
      </c>
      <c r="F77">
        <v>0</v>
      </c>
      <c r="G77">
        <v>0</v>
      </c>
      <c r="H77">
        <v>0</v>
      </c>
      <c r="I77">
        <v>0</v>
      </c>
      <c r="J77">
        <v>0</v>
      </c>
      <c r="K77" t="s">
        <v>109</v>
      </c>
      <c r="L77">
        <v>0</v>
      </c>
      <c r="M77">
        <v>0</v>
      </c>
      <c r="N77">
        <v>0</v>
      </c>
      <c r="O77">
        <v>0</v>
      </c>
    </row>
    <row r="78" spans="1:15" hidden="1" x14ac:dyDescent="0.35">
      <c r="A78" t="s">
        <v>108</v>
      </c>
      <c r="B78" t="s">
        <v>54</v>
      </c>
      <c r="C78" t="s">
        <v>142</v>
      </c>
      <c r="D78">
        <v>100472</v>
      </c>
      <c r="E78" t="s">
        <v>159</v>
      </c>
      <c r="F78">
        <v>0</v>
      </c>
      <c r="G78">
        <v>0</v>
      </c>
      <c r="H78">
        <v>0</v>
      </c>
      <c r="I78">
        <v>0</v>
      </c>
      <c r="J78">
        <v>0</v>
      </c>
      <c r="K78" t="s">
        <v>109</v>
      </c>
      <c r="L78">
        <v>0</v>
      </c>
      <c r="M78">
        <v>0</v>
      </c>
      <c r="N78">
        <v>0</v>
      </c>
      <c r="O78">
        <v>0</v>
      </c>
    </row>
    <row r="79" spans="1:15" hidden="1" x14ac:dyDescent="0.35">
      <c r="A79" t="s">
        <v>108</v>
      </c>
      <c r="B79" t="s">
        <v>54</v>
      </c>
      <c r="C79" t="s">
        <v>142</v>
      </c>
      <c r="D79">
        <v>100472</v>
      </c>
      <c r="E79" t="s">
        <v>160</v>
      </c>
      <c r="F79">
        <v>0</v>
      </c>
      <c r="G79">
        <v>0</v>
      </c>
      <c r="H79">
        <v>0</v>
      </c>
      <c r="I79">
        <v>0</v>
      </c>
      <c r="J79">
        <v>0</v>
      </c>
      <c r="K79" t="s">
        <v>109</v>
      </c>
      <c r="L79">
        <v>0</v>
      </c>
      <c r="M79">
        <v>0</v>
      </c>
      <c r="N79">
        <v>0</v>
      </c>
      <c r="O79">
        <v>0</v>
      </c>
    </row>
    <row r="80" spans="1:15" hidden="1" x14ac:dyDescent="0.35">
      <c r="A80" t="s">
        <v>108</v>
      </c>
      <c r="B80" t="s">
        <v>54</v>
      </c>
      <c r="C80" t="s">
        <v>142</v>
      </c>
      <c r="D80">
        <v>100472</v>
      </c>
      <c r="E80" t="s">
        <v>161</v>
      </c>
      <c r="F80">
        <v>0</v>
      </c>
      <c r="G80">
        <v>0</v>
      </c>
      <c r="H80">
        <v>0</v>
      </c>
      <c r="I80">
        <v>0</v>
      </c>
      <c r="J80">
        <v>0</v>
      </c>
      <c r="K80" t="s">
        <v>109</v>
      </c>
      <c r="L80">
        <v>0</v>
      </c>
      <c r="M80">
        <v>0</v>
      </c>
      <c r="N80">
        <v>0</v>
      </c>
      <c r="O80">
        <v>0</v>
      </c>
    </row>
    <row r="81" spans="1:15" hidden="1" x14ac:dyDescent="0.35">
      <c r="A81" t="s">
        <v>108</v>
      </c>
      <c r="B81" t="s">
        <v>54</v>
      </c>
      <c r="C81" t="s">
        <v>142</v>
      </c>
      <c r="D81">
        <v>100472</v>
      </c>
      <c r="E81" t="s">
        <v>162</v>
      </c>
      <c r="F81">
        <v>0</v>
      </c>
      <c r="G81">
        <v>0</v>
      </c>
      <c r="H81">
        <v>0</v>
      </c>
      <c r="I81">
        <v>0</v>
      </c>
      <c r="J81">
        <v>0</v>
      </c>
      <c r="K81" t="s">
        <v>109</v>
      </c>
      <c r="L81">
        <v>0</v>
      </c>
      <c r="M81">
        <v>0</v>
      </c>
      <c r="N81">
        <v>0</v>
      </c>
      <c r="O81">
        <v>0</v>
      </c>
    </row>
    <row r="82" spans="1:15" hidden="1" x14ac:dyDescent="0.35">
      <c r="A82" t="s">
        <v>108</v>
      </c>
      <c r="B82" t="s">
        <v>54</v>
      </c>
      <c r="C82" t="s">
        <v>142</v>
      </c>
      <c r="D82">
        <v>100472</v>
      </c>
      <c r="E82" t="s">
        <v>163</v>
      </c>
      <c r="F82">
        <v>0</v>
      </c>
      <c r="G82">
        <v>0</v>
      </c>
      <c r="H82">
        <v>0</v>
      </c>
      <c r="I82">
        <v>0</v>
      </c>
      <c r="J82">
        <v>0</v>
      </c>
      <c r="K82" t="s">
        <v>109</v>
      </c>
      <c r="L82">
        <v>0</v>
      </c>
      <c r="M82">
        <v>0</v>
      </c>
      <c r="N82">
        <v>0</v>
      </c>
      <c r="O82">
        <v>0</v>
      </c>
    </row>
    <row r="83" spans="1:15" hidden="1" x14ac:dyDescent="0.35">
      <c r="A83" t="s">
        <v>108</v>
      </c>
      <c r="B83" t="s">
        <v>54</v>
      </c>
      <c r="C83" t="s">
        <v>142</v>
      </c>
      <c r="D83">
        <v>100472</v>
      </c>
      <c r="E83" t="s">
        <v>164</v>
      </c>
      <c r="F83">
        <v>0</v>
      </c>
      <c r="G83">
        <v>0</v>
      </c>
      <c r="H83">
        <v>0</v>
      </c>
      <c r="I83">
        <v>0</v>
      </c>
      <c r="J83">
        <v>0</v>
      </c>
      <c r="K83" t="s">
        <v>109</v>
      </c>
      <c r="L83">
        <v>0</v>
      </c>
      <c r="M83">
        <v>0</v>
      </c>
      <c r="N83">
        <v>0</v>
      </c>
      <c r="O83">
        <v>0</v>
      </c>
    </row>
    <row r="84" spans="1:15" hidden="1" x14ac:dyDescent="0.35">
      <c r="A84" t="s">
        <v>108</v>
      </c>
      <c r="B84" t="s">
        <v>54</v>
      </c>
      <c r="C84" t="s">
        <v>142</v>
      </c>
      <c r="D84">
        <v>100472</v>
      </c>
      <c r="E84" t="s">
        <v>165</v>
      </c>
      <c r="F84">
        <v>0</v>
      </c>
      <c r="G84">
        <v>0</v>
      </c>
      <c r="H84">
        <v>0</v>
      </c>
      <c r="I84">
        <v>0</v>
      </c>
      <c r="J84">
        <v>0</v>
      </c>
      <c r="K84" t="s">
        <v>109</v>
      </c>
      <c r="L84">
        <v>0</v>
      </c>
      <c r="M84">
        <v>0</v>
      </c>
      <c r="N84">
        <v>0</v>
      </c>
      <c r="O84">
        <v>0</v>
      </c>
    </row>
    <row r="85" spans="1:15" hidden="1" x14ac:dyDescent="0.35">
      <c r="A85" t="s">
        <v>108</v>
      </c>
      <c r="B85" t="s">
        <v>54</v>
      </c>
      <c r="C85" t="s">
        <v>142</v>
      </c>
      <c r="D85">
        <v>100472</v>
      </c>
      <c r="E85" t="s">
        <v>166</v>
      </c>
      <c r="F85">
        <v>0</v>
      </c>
      <c r="G85">
        <v>0</v>
      </c>
      <c r="H85">
        <v>0</v>
      </c>
      <c r="I85">
        <v>0</v>
      </c>
      <c r="J85">
        <v>0</v>
      </c>
      <c r="K85" t="s">
        <v>109</v>
      </c>
      <c r="L85">
        <v>0</v>
      </c>
      <c r="M85">
        <v>0</v>
      </c>
      <c r="N85">
        <v>0</v>
      </c>
      <c r="O85">
        <v>0</v>
      </c>
    </row>
    <row r="86" spans="1:15" hidden="1" x14ac:dyDescent="0.35">
      <c r="A86" t="s">
        <v>108</v>
      </c>
      <c r="B86" t="s">
        <v>54</v>
      </c>
      <c r="C86" t="s">
        <v>142</v>
      </c>
      <c r="D86">
        <v>100472</v>
      </c>
      <c r="E86" t="s">
        <v>167</v>
      </c>
      <c r="F86">
        <v>0</v>
      </c>
      <c r="G86">
        <v>0</v>
      </c>
      <c r="H86">
        <v>0</v>
      </c>
      <c r="I86">
        <v>0</v>
      </c>
      <c r="J86">
        <v>0</v>
      </c>
      <c r="K86" t="s">
        <v>109</v>
      </c>
      <c r="L86">
        <v>0</v>
      </c>
      <c r="M86">
        <v>0</v>
      </c>
      <c r="N86">
        <v>0</v>
      </c>
      <c r="O86">
        <v>0</v>
      </c>
    </row>
    <row r="87" spans="1:15" hidden="1" x14ac:dyDescent="0.35">
      <c r="A87" t="s">
        <v>108</v>
      </c>
      <c r="B87" t="s">
        <v>54</v>
      </c>
      <c r="C87" t="s">
        <v>142</v>
      </c>
      <c r="D87">
        <v>100472</v>
      </c>
      <c r="E87" t="s">
        <v>168</v>
      </c>
      <c r="F87">
        <v>0</v>
      </c>
      <c r="G87">
        <v>0</v>
      </c>
      <c r="H87">
        <v>0</v>
      </c>
      <c r="I87">
        <v>0</v>
      </c>
      <c r="J87">
        <v>0</v>
      </c>
      <c r="K87" t="s">
        <v>109</v>
      </c>
      <c r="L87">
        <v>0</v>
      </c>
      <c r="M87">
        <v>0</v>
      </c>
      <c r="N87">
        <v>0</v>
      </c>
      <c r="O87">
        <v>0</v>
      </c>
    </row>
    <row r="88" spans="1:15" hidden="1" x14ac:dyDescent="0.35">
      <c r="A88" t="s">
        <v>108</v>
      </c>
      <c r="B88" t="s">
        <v>54</v>
      </c>
      <c r="C88" t="s">
        <v>142</v>
      </c>
      <c r="D88">
        <v>100472</v>
      </c>
      <c r="E88" t="s">
        <v>169</v>
      </c>
      <c r="F88">
        <v>0</v>
      </c>
      <c r="G88">
        <v>0</v>
      </c>
      <c r="H88">
        <v>0</v>
      </c>
      <c r="I88">
        <v>0</v>
      </c>
      <c r="J88">
        <v>0</v>
      </c>
      <c r="K88" t="s">
        <v>109</v>
      </c>
      <c r="L88">
        <v>0</v>
      </c>
      <c r="M88">
        <v>0</v>
      </c>
      <c r="N88">
        <v>0</v>
      </c>
      <c r="O88">
        <v>0</v>
      </c>
    </row>
    <row r="89" spans="1:15" hidden="1" x14ac:dyDescent="0.35">
      <c r="A89" t="s">
        <v>108</v>
      </c>
      <c r="B89" t="s">
        <v>54</v>
      </c>
      <c r="C89" t="s">
        <v>142</v>
      </c>
      <c r="D89">
        <v>100472</v>
      </c>
      <c r="E89" t="s">
        <v>170</v>
      </c>
      <c r="F89">
        <v>0</v>
      </c>
      <c r="G89">
        <v>0</v>
      </c>
      <c r="H89">
        <v>0</v>
      </c>
      <c r="I89">
        <v>0</v>
      </c>
      <c r="J89">
        <v>0</v>
      </c>
      <c r="K89" t="s">
        <v>109</v>
      </c>
      <c r="L89">
        <v>0</v>
      </c>
      <c r="M89">
        <v>0</v>
      </c>
      <c r="N89">
        <v>0</v>
      </c>
      <c r="O89">
        <v>0</v>
      </c>
    </row>
    <row r="90" spans="1:15" hidden="1" x14ac:dyDescent="0.35">
      <c r="A90" t="s">
        <v>108</v>
      </c>
      <c r="B90" t="s">
        <v>54</v>
      </c>
      <c r="C90" t="s">
        <v>142</v>
      </c>
      <c r="D90">
        <v>100472</v>
      </c>
      <c r="E90" t="s">
        <v>171</v>
      </c>
      <c r="F90">
        <v>0</v>
      </c>
      <c r="G90">
        <v>0</v>
      </c>
      <c r="H90">
        <v>0</v>
      </c>
      <c r="I90">
        <v>0</v>
      </c>
      <c r="J90">
        <v>0</v>
      </c>
      <c r="K90" t="s">
        <v>109</v>
      </c>
      <c r="L90">
        <v>0</v>
      </c>
      <c r="M90">
        <v>0</v>
      </c>
      <c r="N90">
        <v>0</v>
      </c>
      <c r="O90">
        <v>0</v>
      </c>
    </row>
    <row r="91" spans="1:15" hidden="1" x14ac:dyDescent="0.35">
      <c r="A91" t="s">
        <v>108</v>
      </c>
      <c r="B91" t="s">
        <v>54</v>
      </c>
      <c r="C91" t="s">
        <v>142</v>
      </c>
      <c r="D91">
        <v>100472</v>
      </c>
      <c r="E91" t="s">
        <v>172</v>
      </c>
      <c r="F91">
        <v>0</v>
      </c>
      <c r="G91">
        <v>0</v>
      </c>
      <c r="H91">
        <v>0</v>
      </c>
      <c r="I91">
        <v>0</v>
      </c>
      <c r="J91">
        <v>0</v>
      </c>
      <c r="K91" t="s">
        <v>109</v>
      </c>
      <c r="L91">
        <v>0</v>
      </c>
      <c r="M91">
        <v>0</v>
      </c>
      <c r="N91">
        <v>0</v>
      </c>
      <c r="O91">
        <v>0</v>
      </c>
    </row>
    <row r="92" spans="1:15" hidden="1" x14ac:dyDescent="0.35">
      <c r="A92" t="s">
        <v>108</v>
      </c>
      <c r="B92" t="s">
        <v>54</v>
      </c>
      <c r="C92" t="s">
        <v>142</v>
      </c>
      <c r="D92">
        <v>100472</v>
      </c>
      <c r="E92" t="s">
        <v>173</v>
      </c>
      <c r="F92">
        <v>0</v>
      </c>
      <c r="G92">
        <v>0</v>
      </c>
      <c r="H92">
        <v>0</v>
      </c>
      <c r="I92">
        <v>0</v>
      </c>
      <c r="J92">
        <v>0</v>
      </c>
      <c r="K92" t="s">
        <v>109</v>
      </c>
      <c r="L92">
        <v>0</v>
      </c>
      <c r="M92">
        <v>0</v>
      </c>
      <c r="N92">
        <v>0</v>
      </c>
      <c r="O92">
        <v>0</v>
      </c>
    </row>
    <row r="93" spans="1:15" hidden="1" x14ac:dyDescent="0.35">
      <c r="A93" t="s">
        <v>108</v>
      </c>
      <c r="B93" t="s">
        <v>54</v>
      </c>
      <c r="C93" t="s">
        <v>142</v>
      </c>
      <c r="D93">
        <v>100472</v>
      </c>
      <c r="E93" t="s">
        <v>174</v>
      </c>
      <c r="F93">
        <v>0</v>
      </c>
      <c r="G93">
        <v>0</v>
      </c>
      <c r="H93">
        <v>0</v>
      </c>
      <c r="I93">
        <v>0</v>
      </c>
      <c r="J93">
        <v>0</v>
      </c>
      <c r="K93" t="s">
        <v>109</v>
      </c>
      <c r="L93">
        <v>0</v>
      </c>
      <c r="M93">
        <v>0</v>
      </c>
      <c r="N93">
        <v>0</v>
      </c>
      <c r="O93">
        <v>0</v>
      </c>
    </row>
    <row r="94" spans="1:15" hidden="1" x14ac:dyDescent="0.35">
      <c r="A94" t="s">
        <v>108</v>
      </c>
      <c r="B94" t="s">
        <v>54</v>
      </c>
      <c r="C94" t="s">
        <v>142</v>
      </c>
      <c r="D94">
        <v>100472</v>
      </c>
      <c r="E94" t="s">
        <v>175</v>
      </c>
      <c r="F94">
        <v>0</v>
      </c>
      <c r="G94">
        <v>0</v>
      </c>
      <c r="H94">
        <v>0</v>
      </c>
      <c r="I94">
        <v>0</v>
      </c>
      <c r="J94">
        <v>0</v>
      </c>
      <c r="K94" t="s">
        <v>109</v>
      </c>
      <c r="L94">
        <v>0</v>
      </c>
      <c r="M94">
        <v>0</v>
      </c>
      <c r="N94">
        <v>0</v>
      </c>
      <c r="O94">
        <v>0</v>
      </c>
    </row>
    <row r="95" spans="1:15" hidden="1" x14ac:dyDescent="0.35">
      <c r="A95" t="s">
        <v>108</v>
      </c>
      <c r="B95" t="s">
        <v>54</v>
      </c>
      <c r="C95" t="s">
        <v>142</v>
      </c>
      <c r="D95">
        <v>100472</v>
      </c>
      <c r="E95" t="s">
        <v>176</v>
      </c>
      <c r="F95">
        <v>0</v>
      </c>
      <c r="G95">
        <v>0</v>
      </c>
      <c r="H95">
        <v>0</v>
      </c>
      <c r="I95">
        <v>0</v>
      </c>
      <c r="J95">
        <v>0</v>
      </c>
      <c r="K95" t="s">
        <v>109</v>
      </c>
      <c r="L95">
        <v>0</v>
      </c>
      <c r="M95">
        <v>0</v>
      </c>
      <c r="N95">
        <v>0</v>
      </c>
      <c r="O95">
        <v>0</v>
      </c>
    </row>
    <row r="96" spans="1:15" hidden="1" x14ac:dyDescent="0.35">
      <c r="A96" t="s">
        <v>108</v>
      </c>
      <c r="B96" t="s">
        <v>54</v>
      </c>
      <c r="C96" t="s">
        <v>142</v>
      </c>
      <c r="D96">
        <v>100472</v>
      </c>
      <c r="E96" t="s">
        <v>177</v>
      </c>
      <c r="F96">
        <v>0</v>
      </c>
      <c r="G96">
        <v>0</v>
      </c>
      <c r="H96">
        <v>0</v>
      </c>
      <c r="I96">
        <v>0</v>
      </c>
      <c r="J96">
        <v>0</v>
      </c>
      <c r="K96" t="s">
        <v>109</v>
      </c>
      <c r="L96">
        <v>0</v>
      </c>
      <c r="M96">
        <v>0</v>
      </c>
      <c r="N96">
        <v>0</v>
      </c>
      <c r="O96">
        <v>0</v>
      </c>
    </row>
    <row r="97" spans="1:15" hidden="1" x14ac:dyDescent="0.35">
      <c r="A97" t="s">
        <v>108</v>
      </c>
      <c r="B97" t="s">
        <v>54</v>
      </c>
      <c r="C97" t="s">
        <v>142</v>
      </c>
      <c r="D97">
        <v>100472</v>
      </c>
      <c r="E97" t="s">
        <v>178</v>
      </c>
      <c r="F97">
        <v>0</v>
      </c>
      <c r="G97">
        <v>0</v>
      </c>
      <c r="H97">
        <v>0</v>
      </c>
      <c r="I97">
        <v>0</v>
      </c>
      <c r="J97">
        <v>0</v>
      </c>
      <c r="K97" t="s">
        <v>109</v>
      </c>
      <c r="L97">
        <v>0</v>
      </c>
      <c r="M97">
        <v>0</v>
      </c>
      <c r="N97">
        <v>0</v>
      </c>
      <c r="O97">
        <v>0</v>
      </c>
    </row>
    <row r="98" spans="1:15" hidden="1" x14ac:dyDescent="0.35">
      <c r="A98" t="s">
        <v>108</v>
      </c>
      <c r="B98" t="s">
        <v>54</v>
      </c>
      <c r="C98" t="s">
        <v>142</v>
      </c>
      <c r="D98">
        <v>100472</v>
      </c>
      <c r="E98" t="s">
        <v>179</v>
      </c>
      <c r="F98">
        <v>0</v>
      </c>
      <c r="G98">
        <v>0</v>
      </c>
      <c r="H98">
        <v>0</v>
      </c>
      <c r="I98">
        <v>0</v>
      </c>
      <c r="J98">
        <v>0</v>
      </c>
      <c r="K98" t="s">
        <v>109</v>
      </c>
      <c r="L98">
        <v>0</v>
      </c>
      <c r="M98">
        <v>0</v>
      </c>
      <c r="N98">
        <v>0</v>
      </c>
      <c r="O98">
        <v>0</v>
      </c>
    </row>
    <row r="99" spans="1:15" hidden="1" x14ac:dyDescent="0.35">
      <c r="A99" t="s">
        <v>108</v>
      </c>
      <c r="B99" t="s">
        <v>54</v>
      </c>
      <c r="C99" t="s">
        <v>142</v>
      </c>
      <c r="D99">
        <v>100472</v>
      </c>
      <c r="E99" t="s">
        <v>180</v>
      </c>
      <c r="F99">
        <v>0</v>
      </c>
      <c r="G99">
        <v>0</v>
      </c>
      <c r="H99">
        <v>0</v>
      </c>
      <c r="I99">
        <v>0</v>
      </c>
      <c r="J99">
        <v>0</v>
      </c>
      <c r="K99" t="s">
        <v>109</v>
      </c>
      <c r="L99">
        <v>0</v>
      </c>
      <c r="M99">
        <v>0</v>
      </c>
      <c r="N99">
        <v>0</v>
      </c>
      <c r="O99">
        <v>0</v>
      </c>
    </row>
    <row r="100" spans="1:15" hidden="1" x14ac:dyDescent="0.35">
      <c r="A100" t="s">
        <v>108</v>
      </c>
      <c r="B100" t="s">
        <v>54</v>
      </c>
      <c r="C100" t="s">
        <v>142</v>
      </c>
      <c r="D100">
        <v>100472</v>
      </c>
      <c r="E100" t="s">
        <v>181</v>
      </c>
      <c r="F100">
        <v>0</v>
      </c>
      <c r="G100">
        <v>0</v>
      </c>
      <c r="H100">
        <v>0</v>
      </c>
      <c r="I100">
        <v>0</v>
      </c>
      <c r="J100">
        <v>0</v>
      </c>
      <c r="K100" t="s">
        <v>109</v>
      </c>
      <c r="L100">
        <v>0</v>
      </c>
      <c r="M100">
        <v>0</v>
      </c>
      <c r="N100">
        <v>0</v>
      </c>
      <c r="O100">
        <v>0</v>
      </c>
    </row>
    <row r="101" spans="1:15" hidden="1" x14ac:dyDescent="0.35">
      <c r="A101" t="s">
        <v>108</v>
      </c>
      <c r="B101" t="s">
        <v>54</v>
      </c>
      <c r="C101" t="s">
        <v>142</v>
      </c>
      <c r="D101">
        <v>100472</v>
      </c>
      <c r="E101" t="s">
        <v>182</v>
      </c>
      <c r="F101">
        <v>0</v>
      </c>
      <c r="G101">
        <v>0</v>
      </c>
      <c r="H101">
        <v>0</v>
      </c>
      <c r="I101">
        <v>0</v>
      </c>
      <c r="J101">
        <v>0</v>
      </c>
      <c r="K101" t="s">
        <v>109</v>
      </c>
      <c r="L101">
        <v>0</v>
      </c>
      <c r="M101">
        <v>0</v>
      </c>
      <c r="N101">
        <v>0</v>
      </c>
      <c r="O101">
        <v>0</v>
      </c>
    </row>
    <row r="102" spans="1:15" hidden="1" x14ac:dyDescent="0.35">
      <c r="A102" t="s">
        <v>108</v>
      </c>
      <c r="B102" t="s">
        <v>54</v>
      </c>
      <c r="C102" t="s">
        <v>142</v>
      </c>
      <c r="D102">
        <v>100472</v>
      </c>
      <c r="E102" t="s">
        <v>183</v>
      </c>
      <c r="F102">
        <v>0</v>
      </c>
      <c r="G102">
        <v>0</v>
      </c>
      <c r="H102">
        <v>0</v>
      </c>
      <c r="I102">
        <v>0</v>
      </c>
      <c r="J102">
        <v>0</v>
      </c>
      <c r="K102" t="s">
        <v>109</v>
      </c>
      <c r="L102">
        <v>0</v>
      </c>
      <c r="M102">
        <v>0</v>
      </c>
      <c r="N102">
        <v>0</v>
      </c>
      <c r="O102">
        <v>0</v>
      </c>
    </row>
    <row r="103" spans="1:15" hidden="1" x14ac:dyDescent="0.35">
      <c r="A103" t="s">
        <v>108</v>
      </c>
      <c r="B103" t="s">
        <v>54</v>
      </c>
      <c r="C103" t="s">
        <v>142</v>
      </c>
      <c r="D103">
        <v>100472</v>
      </c>
      <c r="E103" t="s">
        <v>184</v>
      </c>
      <c r="F103">
        <v>0</v>
      </c>
      <c r="G103">
        <v>0</v>
      </c>
      <c r="H103">
        <v>0</v>
      </c>
      <c r="I103">
        <v>0</v>
      </c>
      <c r="J103">
        <v>0</v>
      </c>
      <c r="K103" t="s">
        <v>109</v>
      </c>
      <c r="L103">
        <v>0</v>
      </c>
      <c r="M103">
        <v>0</v>
      </c>
      <c r="N103">
        <v>0</v>
      </c>
      <c r="O103">
        <v>0</v>
      </c>
    </row>
    <row r="104" spans="1:15" hidden="1" x14ac:dyDescent="0.35">
      <c r="A104" t="s">
        <v>108</v>
      </c>
      <c r="B104" t="s">
        <v>54</v>
      </c>
      <c r="C104" t="s">
        <v>142</v>
      </c>
      <c r="D104">
        <v>100472</v>
      </c>
      <c r="E104" t="s">
        <v>185</v>
      </c>
      <c r="F104">
        <v>0</v>
      </c>
      <c r="G104">
        <v>0</v>
      </c>
      <c r="H104">
        <v>0</v>
      </c>
      <c r="I104">
        <v>0</v>
      </c>
      <c r="J104">
        <v>0</v>
      </c>
      <c r="K104" t="s">
        <v>109</v>
      </c>
      <c r="L104">
        <v>0</v>
      </c>
      <c r="M104">
        <v>0</v>
      </c>
      <c r="N104">
        <v>0</v>
      </c>
      <c r="O104">
        <v>0</v>
      </c>
    </row>
    <row r="105" spans="1:15" hidden="1" x14ac:dyDescent="0.35">
      <c r="A105" t="s">
        <v>108</v>
      </c>
      <c r="B105" t="s">
        <v>54</v>
      </c>
      <c r="C105" t="s">
        <v>142</v>
      </c>
      <c r="D105">
        <v>100472</v>
      </c>
      <c r="E105" t="s">
        <v>186</v>
      </c>
      <c r="F105">
        <v>0</v>
      </c>
      <c r="G105">
        <v>0</v>
      </c>
      <c r="H105">
        <v>0</v>
      </c>
      <c r="I105">
        <v>0</v>
      </c>
      <c r="J105">
        <v>0</v>
      </c>
      <c r="K105" t="s">
        <v>109</v>
      </c>
      <c r="L105">
        <v>0</v>
      </c>
      <c r="M105">
        <v>0</v>
      </c>
      <c r="N105">
        <v>0</v>
      </c>
      <c r="O105">
        <v>0</v>
      </c>
    </row>
    <row r="106" spans="1:15" hidden="1" x14ac:dyDescent="0.35">
      <c r="A106" t="s">
        <v>108</v>
      </c>
      <c r="B106" t="s">
        <v>54</v>
      </c>
      <c r="C106" t="s">
        <v>142</v>
      </c>
      <c r="D106">
        <v>100472</v>
      </c>
      <c r="E106" t="s">
        <v>187</v>
      </c>
      <c r="F106">
        <v>0</v>
      </c>
      <c r="G106">
        <v>0</v>
      </c>
      <c r="H106">
        <v>0</v>
      </c>
      <c r="I106">
        <v>0</v>
      </c>
      <c r="J106">
        <v>0</v>
      </c>
      <c r="K106" t="s">
        <v>109</v>
      </c>
      <c r="L106">
        <v>0</v>
      </c>
      <c r="M106">
        <v>0</v>
      </c>
      <c r="N106">
        <v>0</v>
      </c>
      <c r="O106">
        <v>0</v>
      </c>
    </row>
    <row r="107" spans="1:15" hidden="1" x14ac:dyDescent="0.35">
      <c r="A107" t="s">
        <v>108</v>
      </c>
      <c r="B107" t="s">
        <v>54</v>
      </c>
      <c r="C107" t="s">
        <v>142</v>
      </c>
      <c r="D107">
        <v>100472</v>
      </c>
      <c r="E107" t="s">
        <v>188</v>
      </c>
      <c r="F107">
        <v>0</v>
      </c>
      <c r="G107">
        <v>0</v>
      </c>
      <c r="H107">
        <v>0</v>
      </c>
      <c r="I107">
        <v>0</v>
      </c>
      <c r="J107">
        <v>0</v>
      </c>
      <c r="K107" t="s">
        <v>109</v>
      </c>
      <c r="L107">
        <v>0</v>
      </c>
      <c r="M107">
        <v>0</v>
      </c>
      <c r="N107">
        <v>0</v>
      </c>
      <c r="O107">
        <v>0</v>
      </c>
    </row>
    <row r="108" spans="1:15" hidden="1" x14ac:dyDescent="0.35">
      <c r="A108" t="s">
        <v>108</v>
      </c>
      <c r="B108" t="s">
        <v>54</v>
      </c>
      <c r="C108" t="s">
        <v>142</v>
      </c>
      <c r="D108">
        <v>100472</v>
      </c>
      <c r="E108" t="s">
        <v>189</v>
      </c>
      <c r="F108">
        <v>0</v>
      </c>
      <c r="G108">
        <v>0</v>
      </c>
      <c r="H108">
        <v>0</v>
      </c>
      <c r="I108">
        <v>0</v>
      </c>
      <c r="J108">
        <v>0</v>
      </c>
      <c r="K108" t="s">
        <v>109</v>
      </c>
      <c r="L108">
        <v>0</v>
      </c>
      <c r="M108">
        <v>0</v>
      </c>
      <c r="N108">
        <v>0</v>
      </c>
      <c r="O108">
        <v>0</v>
      </c>
    </row>
    <row r="109" spans="1:15" hidden="1" x14ac:dyDescent="0.35">
      <c r="A109" t="s">
        <v>108</v>
      </c>
      <c r="B109" t="s">
        <v>54</v>
      </c>
      <c r="C109" t="s">
        <v>142</v>
      </c>
      <c r="D109">
        <v>100472</v>
      </c>
      <c r="E109" t="s">
        <v>190</v>
      </c>
      <c r="F109">
        <v>0</v>
      </c>
      <c r="G109">
        <v>0</v>
      </c>
      <c r="H109">
        <v>0</v>
      </c>
      <c r="I109">
        <v>0</v>
      </c>
      <c r="J109">
        <v>0</v>
      </c>
      <c r="K109" t="s">
        <v>109</v>
      </c>
      <c r="L109">
        <v>0</v>
      </c>
      <c r="M109">
        <v>0</v>
      </c>
      <c r="N109">
        <v>0</v>
      </c>
      <c r="O109">
        <v>0</v>
      </c>
    </row>
    <row r="110" spans="1:15" hidden="1" x14ac:dyDescent="0.35">
      <c r="A110" t="s">
        <v>108</v>
      </c>
      <c r="B110" t="s">
        <v>54</v>
      </c>
      <c r="C110" t="s">
        <v>142</v>
      </c>
      <c r="D110">
        <v>100472</v>
      </c>
      <c r="E110" t="s">
        <v>191</v>
      </c>
      <c r="F110">
        <v>0</v>
      </c>
      <c r="G110">
        <v>0</v>
      </c>
      <c r="H110">
        <v>0</v>
      </c>
      <c r="I110">
        <v>0</v>
      </c>
      <c r="J110">
        <v>0</v>
      </c>
      <c r="K110" t="s">
        <v>109</v>
      </c>
      <c r="L110">
        <v>0</v>
      </c>
      <c r="M110">
        <v>0</v>
      </c>
      <c r="N110">
        <v>0</v>
      </c>
      <c r="O110">
        <v>0</v>
      </c>
    </row>
    <row r="111" spans="1:15" hidden="1" x14ac:dyDescent="0.35">
      <c r="A111" t="s">
        <v>108</v>
      </c>
      <c r="B111" t="s">
        <v>54</v>
      </c>
      <c r="C111" t="s">
        <v>142</v>
      </c>
      <c r="D111">
        <v>100472</v>
      </c>
      <c r="E111" t="s">
        <v>192</v>
      </c>
      <c r="F111">
        <v>0</v>
      </c>
      <c r="G111">
        <v>0</v>
      </c>
      <c r="H111">
        <v>0</v>
      </c>
      <c r="I111">
        <v>0</v>
      </c>
      <c r="J111">
        <v>0</v>
      </c>
      <c r="K111" t="s">
        <v>109</v>
      </c>
      <c r="L111">
        <v>0</v>
      </c>
      <c r="M111">
        <v>0</v>
      </c>
      <c r="N111">
        <v>0</v>
      </c>
      <c r="O111">
        <v>0</v>
      </c>
    </row>
    <row r="112" spans="1:15" hidden="1" x14ac:dyDescent="0.35">
      <c r="A112" t="s">
        <v>108</v>
      </c>
      <c r="B112" t="s">
        <v>54</v>
      </c>
      <c r="C112" t="s">
        <v>142</v>
      </c>
      <c r="D112">
        <v>100472</v>
      </c>
      <c r="E112" t="s">
        <v>193</v>
      </c>
      <c r="F112">
        <v>0</v>
      </c>
      <c r="G112">
        <v>0</v>
      </c>
      <c r="H112">
        <v>0</v>
      </c>
      <c r="I112">
        <v>0</v>
      </c>
      <c r="J112">
        <v>0</v>
      </c>
      <c r="K112" t="s">
        <v>109</v>
      </c>
      <c r="L112">
        <v>0</v>
      </c>
      <c r="M112">
        <v>0</v>
      </c>
      <c r="N112">
        <v>0</v>
      </c>
      <c r="O112">
        <v>0</v>
      </c>
    </row>
    <row r="113" spans="1:15" hidden="1" x14ac:dyDescent="0.35">
      <c r="A113" t="s">
        <v>108</v>
      </c>
      <c r="B113" t="s">
        <v>54</v>
      </c>
      <c r="C113" t="s">
        <v>142</v>
      </c>
      <c r="D113">
        <v>100472</v>
      </c>
      <c r="E113" t="s">
        <v>194</v>
      </c>
      <c r="F113">
        <v>0</v>
      </c>
      <c r="G113">
        <v>0</v>
      </c>
      <c r="H113">
        <v>0</v>
      </c>
      <c r="I113">
        <v>0</v>
      </c>
      <c r="J113">
        <v>0</v>
      </c>
      <c r="K113" t="s">
        <v>109</v>
      </c>
      <c r="L113">
        <v>0</v>
      </c>
      <c r="M113">
        <v>0</v>
      </c>
      <c r="N113">
        <v>0</v>
      </c>
      <c r="O113">
        <v>0</v>
      </c>
    </row>
    <row r="114" spans="1:15" hidden="1" x14ac:dyDescent="0.35">
      <c r="A114" t="s">
        <v>108</v>
      </c>
      <c r="B114" t="s">
        <v>54</v>
      </c>
      <c r="C114" t="s">
        <v>142</v>
      </c>
      <c r="D114">
        <v>100472</v>
      </c>
      <c r="E114" t="s">
        <v>195</v>
      </c>
      <c r="F114">
        <v>0</v>
      </c>
      <c r="G114">
        <v>0</v>
      </c>
      <c r="H114">
        <v>0</v>
      </c>
      <c r="I114">
        <v>0</v>
      </c>
      <c r="J114">
        <v>0</v>
      </c>
      <c r="K114" t="s">
        <v>109</v>
      </c>
      <c r="L114">
        <v>0</v>
      </c>
      <c r="M114">
        <v>0</v>
      </c>
      <c r="N114">
        <v>0</v>
      </c>
      <c r="O114">
        <v>0</v>
      </c>
    </row>
    <row r="115" spans="1:15" hidden="1" x14ac:dyDescent="0.35">
      <c r="A115" t="s">
        <v>108</v>
      </c>
      <c r="B115" t="s">
        <v>54</v>
      </c>
      <c r="C115" t="s">
        <v>142</v>
      </c>
      <c r="D115">
        <v>100472</v>
      </c>
      <c r="E115" t="s">
        <v>196</v>
      </c>
      <c r="F115">
        <v>0</v>
      </c>
      <c r="G115">
        <v>0</v>
      </c>
      <c r="H115">
        <v>0</v>
      </c>
      <c r="I115">
        <v>0</v>
      </c>
      <c r="J115">
        <v>0</v>
      </c>
      <c r="K115" t="s">
        <v>109</v>
      </c>
      <c r="L115">
        <v>0</v>
      </c>
      <c r="M115">
        <v>0</v>
      </c>
      <c r="N115">
        <v>0</v>
      </c>
      <c r="O115">
        <v>0</v>
      </c>
    </row>
    <row r="116" spans="1:15" hidden="1" x14ac:dyDescent="0.35">
      <c r="A116" t="s">
        <v>108</v>
      </c>
      <c r="B116" t="s">
        <v>54</v>
      </c>
      <c r="C116" t="s">
        <v>142</v>
      </c>
      <c r="D116">
        <v>100472</v>
      </c>
      <c r="E116" t="s">
        <v>197</v>
      </c>
      <c r="F116">
        <v>0</v>
      </c>
      <c r="G116">
        <v>0</v>
      </c>
      <c r="H116">
        <v>0</v>
      </c>
      <c r="I116">
        <v>0</v>
      </c>
      <c r="J116">
        <v>0</v>
      </c>
      <c r="K116" t="s">
        <v>109</v>
      </c>
      <c r="L116">
        <v>0</v>
      </c>
      <c r="M116">
        <v>0</v>
      </c>
      <c r="N116">
        <v>0</v>
      </c>
      <c r="O116">
        <v>0</v>
      </c>
    </row>
    <row r="117" spans="1:15" hidden="1" x14ac:dyDescent="0.35">
      <c r="A117" t="s">
        <v>108</v>
      </c>
      <c r="B117" t="s">
        <v>54</v>
      </c>
      <c r="C117" t="s">
        <v>142</v>
      </c>
      <c r="D117">
        <v>100472</v>
      </c>
      <c r="E117" t="s">
        <v>198</v>
      </c>
      <c r="F117">
        <v>0</v>
      </c>
      <c r="G117">
        <v>0</v>
      </c>
      <c r="H117">
        <v>0</v>
      </c>
      <c r="I117">
        <v>0</v>
      </c>
      <c r="J117">
        <v>0</v>
      </c>
      <c r="K117" t="s">
        <v>109</v>
      </c>
      <c r="L117">
        <v>0</v>
      </c>
      <c r="M117">
        <v>0</v>
      </c>
      <c r="N117">
        <v>0</v>
      </c>
      <c r="O117">
        <v>0</v>
      </c>
    </row>
    <row r="118" spans="1:15" hidden="1" x14ac:dyDescent="0.35">
      <c r="A118" t="s">
        <v>108</v>
      </c>
      <c r="B118" t="s">
        <v>54</v>
      </c>
      <c r="C118" t="s">
        <v>142</v>
      </c>
      <c r="D118">
        <v>100472</v>
      </c>
      <c r="E118" t="s">
        <v>199</v>
      </c>
      <c r="F118">
        <v>0</v>
      </c>
      <c r="G118">
        <v>0</v>
      </c>
      <c r="H118">
        <v>0</v>
      </c>
      <c r="I118">
        <v>0</v>
      </c>
      <c r="J118">
        <v>0</v>
      </c>
      <c r="K118" t="s">
        <v>109</v>
      </c>
      <c r="L118">
        <v>0</v>
      </c>
      <c r="M118">
        <v>0</v>
      </c>
      <c r="N118">
        <v>0</v>
      </c>
      <c r="O118">
        <v>0</v>
      </c>
    </row>
    <row r="119" spans="1:15" hidden="1" x14ac:dyDescent="0.35">
      <c r="A119" t="s">
        <v>108</v>
      </c>
      <c r="B119" t="s">
        <v>54</v>
      </c>
      <c r="C119" t="s">
        <v>142</v>
      </c>
      <c r="D119">
        <v>100472</v>
      </c>
      <c r="E119" t="s">
        <v>200</v>
      </c>
      <c r="F119">
        <v>0</v>
      </c>
      <c r="G119">
        <v>0</v>
      </c>
      <c r="H119">
        <v>0</v>
      </c>
      <c r="I119">
        <v>0</v>
      </c>
      <c r="J119">
        <v>0</v>
      </c>
      <c r="K119" t="s">
        <v>109</v>
      </c>
      <c r="L119">
        <v>0</v>
      </c>
      <c r="M119">
        <v>0</v>
      </c>
      <c r="N119">
        <v>0</v>
      </c>
      <c r="O119">
        <v>0</v>
      </c>
    </row>
    <row r="120" spans="1:15" hidden="1" x14ac:dyDescent="0.35">
      <c r="A120" t="s">
        <v>108</v>
      </c>
      <c r="B120" t="s">
        <v>54</v>
      </c>
      <c r="C120" t="s">
        <v>142</v>
      </c>
      <c r="D120">
        <v>100472</v>
      </c>
      <c r="E120" t="s">
        <v>201</v>
      </c>
      <c r="F120">
        <v>0</v>
      </c>
      <c r="G120">
        <v>0</v>
      </c>
      <c r="H120">
        <v>0</v>
      </c>
      <c r="I120">
        <v>0</v>
      </c>
      <c r="J120">
        <v>0</v>
      </c>
      <c r="K120" t="s">
        <v>109</v>
      </c>
      <c r="L120">
        <v>0</v>
      </c>
      <c r="M120">
        <v>0</v>
      </c>
      <c r="N120">
        <v>0</v>
      </c>
      <c r="O120">
        <v>0</v>
      </c>
    </row>
    <row r="121" spans="1:15" hidden="1" x14ac:dyDescent="0.35">
      <c r="A121" t="s">
        <v>108</v>
      </c>
      <c r="B121" t="s">
        <v>54</v>
      </c>
      <c r="C121" t="s">
        <v>142</v>
      </c>
      <c r="D121">
        <v>100472</v>
      </c>
      <c r="E121" t="s">
        <v>202</v>
      </c>
      <c r="F121">
        <v>0</v>
      </c>
      <c r="G121">
        <v>0</v>
      </c>
      <c r="H121">
        <v>0</v>
      </c>
      <c r="I121">
        <v>0</v>
      </c>
      <c r="J121">
        <v>0</v>
      </c>
      <c r="K121" t="s">
        <v>109</v>
      </c>
      <c r="L121">
        <v>0</v>
      </c>
      <c r="M121">
        <v>0</v>
      </c>
      <c r="N121">
        <v>0</v>
      </c>
      <c r="O121">
        <v>0</v>
      </c>
    </row>
    <row r="122" spans="1:15" hidden="1" x14ac:dyDescent="0.35">
      <c r="A122" t="s">
        <v>108</v>
      </c>
      <c r="B122" t="s">
        <v>54</v>
      </c>
      <c r="C122" t="s">
        <v>142</v>
      </c>
      <c r="D122">
        <v>100472</v>
      </c>
      <c r="E122" t="s">
        <v>203</v>
      </c>
      <c r="F122">
        <v>0</v>
      </c>
      <c r="G122">
        <v>0</v>
      </c>
      <c r="H122">
        <v>0</v>
      </c>
      <c r="I122">
        <v>0</v>
      </c>
      <c r="J122">
        <v>0</v>
      </c>
      <c r="K122" t="s">
        <v>109</v>
      </c>
      <c r="L122">
        <v>0</v>
      </c>
      <c r="M122">
        <v>0</v>
      </c>
      <c r="N122">
        <v>0</v>
      </c>
      <c r="O122">
        <v>0</v>
      </c>
    </row>
    <row r="123" spans="1:15" hidden="1" x14ac:dyDescent="0.35">
      <c r="A123" t="s">
        <v>108</v>
      </c>
      <c r="B123" t="s">
        <v>54</v>
      </c>
      <c r="C123" t="s">
        <v>142</v>
      </c>
      <c r="D123">
        <v>100472</v>
      </c>
      <c r="E123" t="s">
        <v>204</v>
      </c>
      <c r="F123">
        <v>0</v>
      </c>
      <c r="G123">
        <v>0</v>
      </c>
      <c r="H123">
        <v>0</v>
      </c>
      <c r="I123">
        <v>0</v>
      </c>
      <c r="J123">
        <v>0</v>
      </c>
      <c r="K123" t="s">
        <v>109</v>
      </c>
      <c r="L123">
        <v>0</v>
      </c>
      <c r="M123">
        <v>0</v>
      </c>
      <c r="N123">
        <v>0</v>
      </c>
      <c r="O123">
        <v>0</v>
      </c>
    </row>
    <row r="124" spans="1:15" hidden="1" x14ac:dyDescent="0.35">
      <c r="A124" t="s">
        <v>108</v>
      </c>
      <c r="B124" t="s">
        <v>54</v>
      </c>
      <c r="C124" t="s">
        <v>142</v>
      </c>
      <c r="D124">
        <v>100472</v>
      </c>
      <c r="E124" t="s">
        <v>205</v>
      </c>
      <c r="F124">
        <v>0</v>
      </c>
      <c r="G124">
        <v>0</v>
      </c>
      <c r="H124">
        <v>0</v>
      </c>
      <c r="I124">
        <v>0</v>
      </c>
      <c r="J124">
        <v>0</v>
      </c>
      <c r="K124" t="s">
        <v>109</v>
      </c>
      <c r="L124">
        <v>0</v>
      </c>
      <c r="M124">
        <v>0</v>
      </c>
      <c r="N124">
        <v>0</v>
      </c>
      <c r="O124">
        <v>0</v>
      </c>
    </row>
    <row r="125" spans="1:15" hidden="1" x14ac:dyDescent="0.35">
      <c r="A125" t="s">
        <v>108</v>
      </c>
      <c r="B125" t="s">
        <v>54</v>
      </c>
      <c r="C125" t="s">
        <v>142</v>
      </c>
      <c r="D125">
        <v>100472</v>
      </c>
      <c r="E125" t="s">
        <v>206</v>
      </c>
      <c r="F125">
        <v>0</v>
      </c>
      <c r="G125">
        <v>0</v>
      </c>
      <c r="H125">
        <v>0</v>
      </c>
      <c r="I125">
        <v>0</v>
      </c>
      <c r="J125">
        <v>0</v>
      </c>
      <c r="K125" t="s">
        <v>109</v>
      </c>
      <c r="L125">
        <v>0</v>
      </c>
      <c r="M125">
        <v>0</v>
      </c>
      <c r="N125">
        <v>0</v>
      </c>
      <c r="O125">
        <v>0</v>
      </c>
    </row>
    <row r="126" spans="1:15" hidden="1" x14ac:dyDescent="0.35">
      <c r="A126" t="s">
        <v>108</v>
      </c>
      <c r="B126" t="s">
        <v>54</v>
      </c>
      <c r="C126" t="s">
        <v>142</v>
      </c>
      <c r="D126">
        <v>100472</v>
      </c>
      <c r="E126" t="s">
        <v>207</v>
      </c>
      <c r="F126">
        <v>0</v>
      </c>
      <c r="G126">
        <v>0</v>
      </c>
      <c r="H126">
        <v>0</v>
      </c>
      <c r="I126">
        <v>0</v>
      </c>
      <c r="J126">
        <v>0</v>
      </c>
      <c r="K126" t="s">
        <v>109</v>
      </c>
      <c r="L126">
        <v>0</v>
      </c>
      <c r="M126">
        <v>0</v>
      </c>
      <c r="N126">
        <v>0</v>
      </c>
      <c r="O126">
        <v>0</v>
      </c>
    </row>
    <row r="127" spans="1:15" hidden="1" x14ac:dyDescent="0.35">
      <c r="A127" t="s">
        <v>108</v>
      </c>
      <c r="B127" t="s">
        <v>54</v>
      </c>
      <c r="C127" t="s">
        <v>142</v>
      </c>
      <c r="D127">
        <v>100472</v>
      </c>
      <c r="E127" t="s">
        <v>208</v>
      </c>
      <c r="F127">
        <v>0</v>
      </c>
      <c r="G127">
        <v>0</v>
      </c>
      <c r="H127">
        <v>0</v>
      </c>
      <c r="I127">
        <v>0</v>
      </c>
      <c r="J127">
        <v>0</v>
      </c>
      <c r="K127" t="s">
        <v>109</v>
      </c>
      <c r="L127">
        <v>0</v>
      </c>
      <c r="M127">
        <v>0</v>
      </c>
      <c r="N127">
        <v>0</v>
      </c>
      <c r="O127">
        <v>0</v>
      </c>
    </row>
    <row r="128" spans="1:15" hidden="1" x14ac:dyDescent="0.35">
      <c r="A128" t="s">
        <v>108</v>
      </c>
      <c r="B128" t="s">
        <v>54</v>
      </c>
      <c r="C128" t="s">
        <v>142</v>
      </c>
      <c r="D128">
        <v>100472</v>
      </c>
      <c r="E128" t="s">
        <v>209</v>
      </c>
      <c r="F128">
        <v>0</v>
      </c>
      <c r="G128">
        <v>0</v>
      </c>
      <c r="H128">
        <v>0</v>
      </c>
      <c r="I128">
        <v>0</v>
      </c>
      <c r="J128">
        <v>0</v>
      </c>
      <c r="K128" t="s">
        <v>109</v>
      </c>
      <c r="L128">
        <v>0</v>
      </c>
      <c r="M128">
        <v>0</v>
      </c>
      <c r="N128">
        <v>0</v>
      </c>
      <c r="O128">
        <v>0</v>
      </c>
    </row>
    <row r="129" spans="1:15" hidden="1" x14ac:dyDescent="0.35">
      <c r="A129" t="s">
        <v>108</v>
      </c>
      <c r="B129" t="s">
        <v>54</v>
      </c>
      <c r="C129" t="s">
        <v>142</v>
      </c>
      <c r="D129">
        <v>100472</v>
      </c>
      <c r="E129" t="s">
        <v>210</v>
      </c>
      <c r="F129">
        <v>0</v>
      </c>
      <c r="G129">
        <v>0</v>
      </c>
      <c r="H129">
        <v>0</v>
      </c>
      <c r="I129">
        <v>0</v>
      </c>
      <c r="J129">
        <v>0</v>
      </c>
      <c r="K129" t="s">
        <v>109</v>
      </c>
      <c r="L129">
        <v>0</v>
      </c>
      <c r="M129">
        <v>0</v>
      </c>
      <c r="N129">
        <v>0</v>
      </c>
      <c r="O129">
        <v>0</v>
      </c>
    </row>
    <row r="130" spans="1:15" hidden="1" x14ac:dyDescent="0.35">
      <c r="A130" t="s">
        <v>108</v>
      </c>
      <c r="B130" t="s">
        <v>54</v>
      </c>
      <c r="C130" t="s">
        <v>142</v>
      </c>
      <c r="D130">
        <v>100472</v>
      </c>
      <c r="E130" t="s">
        <v>211</v>
      </c>
      <c r="F130">
        <v>0</v>
      </c>
      <c r="G130">
        <v>0</v>
      </c>
      <c r="H130">
        <v>0</v>
      </c>
      <c r="I130">
        <v>0</v>
      </c>
      <c r="J130">
        <v>0</v>
      </c>
      <c r="K130" t="s">
        <v>109</v>
      </c>
      <c r="L130">
        <v>0</v>
      </c>
      <c r="M130">
        <v>0</v>
      </c>
      <c r="N130">
        <v>0</v>
      </c>
      <c r="O130">
        <v>0</v>
      </c>
    </row>
    <row r="131" spans="1:15" hidden="1" x14ac:dyDescent="0.35">
      <c r="A131" t="s">
        <v>108</v>
      </c>
      <c r="B131" t="s">
        <v>54</v>
      </c>
      <c r="C131" t="s">
        <v>142</v>
      </c>
      <c r="D131">
        <v>100472</v>
      </c>
      <c r="E131" t="s">
        <v>212</v>
      </c>
      <c r="F131">
        <v>0</v>
      </c>
      <c r="G131">
        <v>0</v>
      </c>
      <c r="H131">
        <v>0</v>
      </c>
      <c r="I131">
        <v>0</v>
      </c>
      <c r="J131">
        <v>0</v>
      </c>
      <c r="K131" t="s">
        <v>109</v>
      </c>
      <c r="L131">
        <v>0</v>
      </c>
      <c r="M131">
        <v>0</v>
      </c>
      <c r="N131">
        <v>0</v>
      </c>
      <c r="O131">
        <v>0</v>
      </c>
    </row>
    <row r="132" spans="1:15" hidden="1" x14ac:dyDescent="0.35">
      <c r="A132" t="s">
        <v>108</v>
      </c>
      <c r="B132" t="s">
        <v>54</v>
      </c>
      <c r="C132" t="s">
        <v>26</v>
      </c>
      <c r="D132">
        <v>100463</v>
      </c>
      <c r="F132">
        <v>7464</v>
      </c>
      <c r="G132">
        <v>42462</v>
      </c>
      <c r="H132">
        <v>30.684999999999999</v>
      </c>
      <c r="I132">
        <v>243.24588561186201</v>
      </c>
      <c r="J132">
        <v>1383.8031611536501</v>
      </c>
      <c r="K132" t="s">
        <v>109</v>
      </c>
      <c r="L132">
        <v>0</v>
      </c>
      <c r="M132">
        <v>0</v>
      </c>
      <c r="N132">
        <v>0</v>
      </c>
      <c r="O132">
        <v>-30.684999999999999</v>
      </c>
    </row>
    <row r="133" spans="1:15" x14ac:dyDescent="0.35">
      <c r="A133" t="s">
        <v>108</v>
      </c>
      <c r="B133" t="s">
        <v>54</v>
      </c>
      <c r="C133" t="s">
        <v>10</v>
      </c>
      <c r="D133">
        <v>100411</v>
      </c>
      <c r="F133">
        <v>7464</v>
      </c>
      <c r="G133">
        <v>42462</v>
      </c>
      <c r="H133">
        <v>53.562777777777697</v>
      </c>
      <c r="I133">
        <v>139.35050252559299</v>
      </c>
      <c r="J133">
        <v>792.75201476979203</v>
      </c>
      <c r="K133" t="s">
        <v>109</v>
      </c>
      <c r="L133">
        <v>361.25</v>
      </c>
      <c r="M133">
        <v>20.661591695501698</v>
      </c>
      <c r="N133">
        <v>38.574533571098399</v>
      </c>
      <c r="O133">
        <v>-32.901186082275999</v>
      </c>
    </row>
    <row r="134" spans="1:15" hidden="1" x14ac:dyDescent="0.35">
      <c r="A134" t="s">
        <v>108</v>
      </c>
      <c r="B134" t="s">
        <v>54</v>
      </c>
      <c r="C134" t="s">
        <v>11</v>
      </c>
      <c r="D134">
        <v>100410</v>
      </c>
      <c r="F134">
        <v>7464</v>
      </c>
      <c r="G134">
        <v>42462</v>
      </c>
      <c r="H134">
        <v>6.39472222222222</v>
      </c>
      <c r="I134">
        <v>1167.2125450675401</v>
      </c>
      <c r="J134">
        <v>6640.1633291342596</v>
      </c>
      <c r="K134" t="s">
        <v>109</v>
      </c>
      <c r="L134">
        <v>361.25</v>
      </c>
      <c r="M134">
        <v>20.661591695501698</v>
      </c>
      <c r="N134">
        <v>323.103818703819</v>
      </c>
      <c r="O134">
        <v>14.266869473279501</v>
      </c>
    </row>
    <row r="135" spans="1:15" hidden="1" x14ac:dyDescent="0.35">
      <c r="A135" t="s">
        <v>108</v>
      </c>
      <c r="B135" t="s">
        <v>54</v>
      </c>
      <c r="C135" t="s">
        <v>12</v>
      </c>
      <c r="D135">
        <v>100412</v>
      </c>
      <c r="F135">
        <v>0</v>
      </c>
      <c r="G135">
        <v>0</v>
      </c>
      <c r="H135">
        <v>0</v>
      </c>
      <c r="I135">
        <v>0</v>
      </c>
      <c r="J135">
        <v>0</v>
      </c>
      <c r="K135" t="s">
        <v>5</v>
      </c>
      <c r="L135">
        <v>0</v>
      </c>
      <c r="M135">
        <v>0.79625000000000001</v>
      </c>
      <c r="N135">
        <v>0</v>
      </c>
      <c r="O135">
        <v>0.79625000000000001</v>
      </c>
    </row>
    <row r="136" spans="1:15" hidden="1" x14ac:dyDescent="0.35">
      <c r="A136" t="s">
        <v>108</v>
      </c>
      <c r="B136" t="s">
        <v>54</v>
      </c>
      <c r="C136" t="s">
        <v>62</v>
      </c>
      <c r="D136">
        <v>100462</v>
      </c>
      <c r="F136">
        <v>7464</v>
      </c>
      <c r="G136">
        <v>42462</v>
      </c>
      <c r="H136">
        <v>6.56</v>
      </c>
      <c r="I136">
        <v>1137.80487804878</v>
      </c>
      <c r="J136">
        <v>6472.8658536585299</v>
      </c>
      <c r="K136" t="s">
        <v>109</v>
      </c>
      <c r="L136">
        <v>0</v>
      </c>
      <c r="M136">
        <v>0</v>
      </c>
      <c r="N136">
        <v>0</v>
      </c>
      <c r="O136">
        <v>-6.56</v>
      </c>
    </row>
    <row r="137" spans="1:15" hidden="1" x14ac:dyDescent="0.35">
      <c r="A137" t="s">
        <v>108</v>
      </c>
      <c r="B137" t="s">
        <v>55</v>
      </c>
      <c r="C137" t="s">
        <v>63</v>
      </c>
      <c r="D137">
        <v>100464</v>
      </c>
      <c r="F137">
        <v>0</v>
      </c>
      <c r="G137">
        <v>0</v>
      </c>
      <c r="H137">
        <v>5.3788888888888797</v>
      </c>
      <c r="I137">
        <v>0</v>
      </c>
      <c r="J137">
        <v>0</v>
      </c>
      <c r="K137" t="s">
        <v>109</v>
      </c>
      <c r="L137">
        <v>0</v>
      </c>
      <c r="M137">
        <v>0</v>
      </c>
      <c r="N137">
        <v>0</v>
      </c>
      <c r="O137">
        <v>-5.3788888888888797</v>
      </c>
    </row>
    <row r="138" spans="1:15" hidden="1" x14ac:dyDescent="0.35">
      <c r="A138" t="s">
        <v>108</v>
      </c>
      <c r="B138" t="s">
        <v>55</v>
      </c>
      <c r="C138" t="s">
        <v>16</v>
      </c>
      <c r="D138">
        <v>100465</v>
      </c>
      <c r="F138">
        <v>0</v>
      </c>
      <c r="G138">
        <v>0</v>
      </c>
      <c r="H138">
        <v>24.190833333333298</v>
      </c>
      <c r="I138">
        <v>0</v>
      </c>
      <c r="J138">
        <v>0</v>
      </c>
      <c r="K138" t="s">
        <v>109</v>
      </c>
      <c r="L138">
        <v>0</v>
      </c>
      <c r="M138">
        <v>0</v>
      </c>
      <c r="N138">
        <v>0</v>
      </c>
      <c r="O138">
        <v>-24.190833333333298</v>
      </c>
    </row>
    <row r="139" spans="1:15" hidden="1" x14ac:dyDescent="0.35">
      <c r="A139" t="s">
        <v>0</v>
      </c>
      <c r="B139" t="s">
        <v>0</v>
      </c>
      <c r="C139" t="s">
        <v>64</v>
      </c>
      <c r="D139">
        <v>100426</v>
      </c>
      <c r="F139">
        <v>0</v>
      </c>
      <c r="G139">
        <v>0</v>
      </c>
      <c r="H139">
        <v>0</v>
      </c>
      <c r="I139">
        <v>0</v>
      </c>
      <c r="J139">
        <v>0</v>
      </c>
      <c r="K139" t="s">
        <v>5</v>
      </c>
      <c r="L139">
        <v>0</v>
      </c>
      <c r="M139">
        <v>0.97749999999999904</v>
      </c>
      <c r="N139">
        <v>0</v>
      </c>
      <c r="O139">
        <v>0.97749999999999904</v>
      </c>
    </row>
    <row r="140" spans="1:15" hidden="1" x14ac:dyDescent="0.35">
      <c r="A140" t="s">
        <v>56</v>
      </c>
      <c r="B140" t="s">
        <v>56</v>
      </c>
      <c r="C140" t="s">
        <v>65</v>
      </c>
      <c r="D140">
        <v>100427</v>
      </c>
      <c r="F140">
        <v>0</v>
      </c>
      <c r="G140">
        <v>0</v>
      </c>
      <c r="H140">
        <v>8.1738888888888894</v>
      </c>
      <c r="I140">
        <v>0</v>
      </c>
      <c r="J140">
        <v>0</v>
      </c>
      <c r="K140" t="s">
        <v>5</v>
      </c>
      <c r="L140">
        <v>0</v>
      </c>
      <c r="M140">
        <v>1.4225000000000001</v>
      </c>
      <c r="N140">
        <v>17.402976959151701</v>
      </c>
      <c r="O140">
        <v>-6.7513888888888802</v>
      </c>
    </row>
    <row r="141" spans="1:15" hidden="1" x14ac:dyDescent="0.35">
      <c r="A141" t="s">
        <v>56</v>
      </c>
      <c r="B141" t="s">
        <v>56</v>
      </c>
      <c r="C141" t="s">
        <v>66</v>
      </c>
      <c r="D141">
        <v>100428</v>
      </c>
      <c r="F141">
        <v>0</v>
      </c>
      <c r="G141">
        <v>0</v>
      </c>
      <c r="H141">
        <v>14.1166666666666</v>
      </c>
      <c r="I141">
        <v>0</v>
      </c>
      <c r="J141">
        <v>0</v>
      </c>
      <c r="K141" t="s">
        <v>5</v>
      </c>
      <c r="L141">
        <v>0</v>
      </c>
      <c r="M141">
        <v>7.3749999999999996E-2</v>
      </c>
      <c r="N141">
        <v>0.52243211334120399</v>
      </c>
      <c r="O141">
        <v>-14.042916666666599</v>
      </c>
    </row>
    <row r="142" spans="1:15" hidden="1" x14ac:dyDescent="0.35">
      <c r="A142" t="s">
        <v>56</v>
      </c>
      <c r="B142" t="s">
        <v>56</v>
      </c>
      <c r="C142" t="s">
        <v>31</v>
      </c>
      <c r="D142">
        <v>100429</v>
      </c>
      <c r="F142">
        <v>0</v>
      </c>
      <c r="G142">
        <v>0</v>
      </c>
      <c r="H142">
        <v>27.311111111111099</v>
      </c>
      <c r="I142">
        <v>0</v>
      </c>
      <c r="J142">
        <v>0</v>
      </c>
      <c r="K142" t="s">
        <v>5</v>
      </c>
      <c r="L142">
        <v>0</v>
      </c>
      <c r="M142">
        <v>0.85499999999999998</v>
      </c>
      <c r="N142">
        <v>3.1305939788445798</v>
      </c>
      <c r="O142">
        <v>-26.456111111111099</v>
      </c>
    </row>
    <row r="143" spans="1:15" hidden="1" x14ac:dyDescent="0.35">
      <c r="A143" t="s">
        <v>56</v>
      </c>
      <c r="B143" t="s">
        <v>56</v>
      </c>
      <c r="C143" t="s">
        <v>67</v>
      </c>
      <c r="D143">
        <v>100466</v>
      </c>
      <c r="F143">
        <v>0</v>
      </c>
      <c r="G143">
        <v>0</v>
      </c>
      <c r="H143">
        <v>3</v>
      </c>
      <c r="I143">
        <v>0</v>
      </c>
      <c r="J143">
        <v>0</v>
      </c>
      <c r="K143" t="s">
        <v>109</v>
      </c>
      <c r="L143">
        <v>0</v>
      </c>
      <c r="M143">
        <v>0</v>
      </c>
      <c r="N143">
        <v>0</v>
      </c>
      <c r="O143">
        <v>-3</v>
      </c>
    </row>
    <row r="144" spans="1:15" hidden="1" x14ac:dyDescent="0.35">
      <c r="A144" t="s">
        <v>57</v>
      </c>
      <c r="B144" t="s">
        <v>57</v>
      </c>
      <c r="C144" t="s">
        <v>68</v>
      </c>
      <c r="D144">
        <v>100467</v>
      </c>
      <c r="F144">
        <v>0</v>
      </c>
      <c r="G144">
        <v>0</v>
      </c>
      <c r="H144">
        <v>0</v>
      </c>
      <c r="I144">
        <v>0</v>
      </c>
      <c r="J144">
        <v>0</v>
      </c>
      <c r="K144" t="s">
        <v>109</v>
      </c>
      <c r="L144">
        <v>0</v>
      </c>
      <c r="M144">
        <v>0</v>
      </c>
      <c r="N144">
        <v>0</v>
      </c>
      <c r="O144">
        <v>0</v>
      </c>
    </row>
    <row r="145" spans="1:15" hidden="1" x14ac:dyDescent="0.35">
      <c r="A145" t="s">
        <v>57</v>
      </c>
      <c r="B145" t="s">
        <v>57</v>
      </c>
      <c r="C145" t="s">
        <v>69</v>
      </c>
      <c r="D145">
        <v>100468</v>
      </c>
      <c r="F145">
        <v>0</v>
      </c>
      <c r="G145">
        <v>0</v>
      </c>
      <c r="H145">
        <v>0</v>
      </c>
      <c r="I145">
        <v>0</v>
      </c>
      <c r="J145">
        <v>0</v>
      </c>
      <c r="K145" t="s">
        <v>109</v>
      </c>
      <c r="L145">
        <v>0</v>
      </c>
      <c r="M145">
        <v>0</v>
      </c>
      <c r="N145">
        <v>0</v>
      </c>
      <c r="O145">
        <v>0</v>
      </c>
    </row>
    <row r="146" spans="1:15" hidden="1" x14ac:dyDescent="0.35">
      <c r="A146" t="s">
        <v>57</v>
      </c>
      <c r="B146" t="s">
        <v>57</v>
      </c>
      <c r="C146" t="s">
        <v>70</v>
      </c>
      <c r="D146">
        <v>100469</v>
      </c>
      <c r="F146">
        <v>0</v>
      </c>
      <c r="G146">
        <v>0</v>
      </c>
      <c r="H146">
        <v>1.4666666666666599</v>
      </c>
      <c r="I146">
        <v>0</v>
      </c>
      <c r="J146">
        <v>0</v>
      </c>
      <c r="K146" t="s">
        <v>109</v>
      </c>
      <c r="L146">
        <v>0</v>
      </c>
      <c r="M146">
        <v>0</v>
      </c>
      <c r="N146">
        <v>0</v>
      </c>
      <c r="O146">
        <v>-1.4666666666666599</v>
      </c>
    </row>
    <row r="147" spans="1:15" hidden="1" x14ac:dyDescent="0.35">
      <c r="A147" t="s">
        <v>58</v>
      </c>
      <c r="B147" t="s">
        <v>58</v>
      </c>
      <c r="C147" t="s">
        <v>71</v>
      </c>
      <c r="D147">
        <v>100453</v>
      </c>
      <c r="F147">
        <v>0</v>
      </c>
      <c r="G147">
        <v>0</v>
      </c>
      <c r="H147">
        <v>1.5</v>
      </c>
      <c r="I147">
        <v>0</v>
      </c>
      <c r="J147">
        <v>0</v>
      </c>
      <c r="K147" t="s">
        <v>109</v>
      </c>
      <c r="L147">
        <v>0</v>
      </c>
      <c r="M147">
        <v>0</v>
      </c>
      <c r="N147">
        <v>0</v>
      </c>
      <c r="O147">
        <v>-1.5</v>
      </c>
    </row>
    <row r="148" spans="1:15" hidden="1" x14ac:dyDescent="0.35">
      <c r="A148" t="s">
        <v>58</v>
      </c>
      <c r="B148" t="s">
        <v>58</v>
      </c>
      <c r="C148" t="s">
        <v>72</v>
      </c>
      <c r="D148">
        <v>100454</v>
      </c>
      <c r="F148">
        <v>0</v>
      </c>
      <c r="G148">
        <v>0</v>
      </c>
      <c r="H148">
        <v>11.9602777777777</v>
      </c>
      <c r="I148">
        <v>0</v>
      </c>
      <c r="J148">
        <v>0</v>
      </c>
      <c r="K148" t="s">
        <v>109</v>
      </c>
      <c r="L148">
        <v>0</v>
      </c>
      <c r="M148">
        <v>0</v>
      </c>
      <c r="N148">
        <v>0</v>
      </c>
      <c r="O148">
        <v>-11.9602777777777</v>
      </c>
    </row>
    <row r="149" spans="1:15" hidden="1" x14ac:dyDescent="0.35">
      <c r="A149" t="s">
        <v>59</v>
      </c>
      <c r="B149" t="s">
        <v>59</v>
      </c>
      <c r="C149" t="s">
        <v>73</v>
      </c>
      <c r="D149">
        <v>100436</v>
      </c>
      <c r="F149">
        <v>0</v>
      </c>
      <c r="G149">
        <v>0</v>
      </c>
      <c r="H149">
        <v>6</v>
      </c>
      <c r="I149">
        <v>0</v>
      </c>
      <c r="J149">
        <v>0</v>
      </c>
      <c r="K149" t="s">
        <v>109</v>
      </c>
      <c r="L149">
        <v>0</v>
      </c>
      <c r="M149">
        <v>0</v>
      </c>
      <c r="N149">
        <v>0</v>
      </c>
      <c r="O149">
        <v>-6</v>
      </c>
    </row>
    <row r="150" spans="1:15" hidden="1" x14ac:dyDescent="0.35">
      <c r="A150" t="s">
        <v>59</v>
      </c>
      <c r="B150" t="s">
        <v>59</v>
      </c>
      <c r="C150" t="s">
        <v>74</v>
      </c>
      <c r="D150">
        <v>100470</v>
      </c>
      <c r="F150">
        <v>0</v>
      </c>
      <c r="G150">
        <v>0</v>
      </c>
      <c r="H150">
        <v>0.390277777777777</v>
      </c>
      <c r="I150">
        <v>0</v>
      </c>
      <c r="J150">
        <v>0</v>
      </c>
      <c r="K150" t="s">
        <v>109</v>
      </c>
      <c r="L150">
        <v>0</v>
      </c>
      <c r="M150">
        <v>0</v>
      </c>
      <c r="N150">
        <v>0</v>
      </c>
      <c r="O150">
        <v>-0.390277777777777</v>
      </c>
    </row>
    <row r="151" spans="1:15" hidden="1" x14ac:dyDescent="0.35">
      <c r="A151" t="s">
        <v>59</v>
      </c>
      <c r="B151" t="s">
        <v>59</v>
      </c>
      <c r="C151" t="s">
        <v>75</v>
      </c>
      <c r="D151">
        <v>100439</v>
      </c>
      <c r="F151">
        <v>0</v>
      </c>
      <c r="G151">
        <v>0</v>
      </c>
      <c r="H151">
        <v>0</v>
      </c>
      <c r="I151">
        <v>0</v>
      </c>
      <c r="J151">
        <v>0</v>
      </c>
      <c r="K151" t="s">
        <v>109</v>
      </c>
      <c r="L151">
        <v>0</v>
      </c>
      <c r="M151">
        <v>0</v>
      </c>
      <c r="N151">
        <v>0</v>
      </c>
      <c r="O151">
        <v>0</v>
      </c>
    </row>
    <row r="152" spans="1:15" hidden="1" x14ac:dyDescent="0.35">
      <c r="A152" t="s">
        <v>213</v>
      </c>
      <c r="B152" t="s">
        <v>213</v>
      </c>
      <c r="C152" t="s">
        <v>214</v>
      </c>
      <c r="D152">
        <v>100471</v>
      </c>
      <c r="E152" t="s">
        <v>143</v>
      </c>
      <c r="F152">
        <v>0</v>
      </c>
      <c r="G152">
        <v>0</v>
      </c>
      <c r="H152">
        <v>0</v>
      </c>
      <c r="I152">
        <v>0</v>
      </c>
      <c r="J152">
        <v>0</v>
      </c>
      <c r="K152" t="s">
        <v>109</v>
      </c>
      <c r="L152">
        <v>0</v>
      </c>
      <c r="M152">
        <v>0</v>
      </c>
      <c r="N152">
        <v>0</v>
      </c>
      <c r="O152">
        <v>0</v>
      </c>
    </row>
    <row r="153" spans="1:15" hidden="1" x14ac:dyDescent="0.35">
      <c r="A153" t="s">
        <v>213</v>
      </c>
      <c r="B153" t="s">
        <v>213</v>
      </c>
      <c r="C153" t="s">
        <v>214</v>
      </c>
      <c r="D153">
        <v>100471</v>
      </c>
      <c r="E153" t="s">
        <v>144</v>
      </c>
      <c r="F153">
        <v>0</v>
      </c>
      <c r="G153">
        <v>0</v>
      </c>
      <c r="H153">
        <v>0</v>
      </c>
      <c r="I153">
        <v>0</v>
      </c>
      <c r="J153">
        <v>0</v>
      </c>
      <c r="K153" t="s">
        <v>109</v>
      </c>
      <c r="L153">
        <v>0</v>
      </c>
      <c r="M153">
        <v>0</v>
      </c>
      <c r="N153">
        <v>0</v>
      </c>
      <c r="O153">
        <v>0</v>
      </c>
    </row>
    <row r="154" spans="1:15" hidden="1" x14ac:dyDescent="0.35">
      <c r="A154" t="s">
        <v>213</v>
      </c>
      <c r="B154" t="s">
        <v>213</v>
      </c>
      <c r="C154" t="s">
        <v>214</v>
      </c>
      <c r="D154">
        <v>100471</v>
      </c>
      <c r="E154" t="s">
        <v>145</v>
      </c>
      <c r="F154">
        <v>0</v>
      </c>
      <c r="G154">
        <v>0</v>
      </c>
      <c r="H154">
        <v>0</v>
      </c>
      <c r="I154">
        <v>0</v>
      </c>
      <c r="J154">
        <v>0</v>
      </c>
      <c r="K154" t="s">
        <v>109</v>
      </c>
      <c r="L154">
        <v>0</v>
      </c>
      <c r="M154">
        <v>0</v>
      </c>
      <c r="N154">
        <v>0</v>
      </c>
      <c r="O154">
        <v>0</v>
      </c>
    </row>
    <row r="155" spans="1:15" hidden="1" x14ac:dyDescent="0.35">
      <c r="A155" t="s">
        <v>213</v>
      </c>
      <c r="B155" t="s">
        <v>213</v>
      </c>
      <c r="C155" t="s">
        <v>214</v>
      </c>
      <c r="D155">
        <v>100471</v>
      </c>
      <c r="E155" t="s">
        <v>146</v>
      </c>
      <c r="F155">
        <v>0</v>
      </c>
      <c r="G155">
        <v>0</v>
      </c>
      <c r="H155">
        <v>0</v>
      </c>
      <c r="I155">
        <v>0</v>
      </c>
      <c r="J155">
        <v>0</v>
      </c>
      <c r="K155" t="s">
        <v>109</v>
      </c>
      <c r="L155">
        <v>0</v>
      </c>
      <c r="M155">
        <v>0</v>
      </c>
      <c r="N155">
        <v>0</v>
      </c>
      <c r="O155">
        <v>0</v>
      </c>
    </row>
    <row r="156" spans="1:15" hidden="1" x14ac:dyDescent="0.35">
      <c r="A156" t="s">
        <v>213</v>
      </c>
      <c r="B156" t="s">
        <v>213</v>
      </c>
      <c r="C156" t="s">
        <v>214</v>
      </c>
      <c r="D156">
        <v>100471</v>
      </c>
      <c r="E156" t="s">
        <v>147</v>
      </c>
      <c r="F156">
        <v>0</v>
      </c>
      <c r="G156">
        <v>0</v>
      </c>
      <c r="H156">
        <v>0</v>
      </c>
      <c r="I156">
        <v>0</v>
      </c>
      <c r="J156">
        <v>0</v>
      </c>
      <c r="K156" t="s">
        <v>109</v>
      </c>
      <c r="L156">
        <v>0</v>
      </c>
      <c r="M156">
        <v>0</v>
      </c>
      <c r="N156">
        <v>0</v>
      </c>
      <c r="O156">
        <v>0</v>
      </c>
    </row>
    <row r="157" spans="1:15" hidden="1" x14ac:dyDescent="0.35">
      <c r="A157" t="s">
        <v>213</v>
      </c>
      <c r="B157" t="s">
        <v>213</v>
      </c>
      <c r="C157" t="s">
        <v>214</v>
      </c>
      <c r="D157">
        <v>100471</v>
      </c>
      <c r="E157" t="s">
        <v>148</v>
      </c>
      <c r="F157">
        <v>0</v>
      </c>
      <c r="G157">
        <v>0</v>
      </c>
      <c r="H157">
        <v>0</v>
      </c>
      <c r="I157">
        <v>0</v>
      </c>
      <c r="J157">
        <v>0</v>
      </c>
      <c r="K157" t="s">
        <v>109</v>
      </c>
      <c r="L157">
        <v>0</v>
      </c>
      <c r="M157">
        <v>0</v>
      </c>
      <c r="N157">
        <v>0</v>
      </c>
      <c r="O157">
        <v>0</v>
      </c>
    </row>
    <row r="158" spans="1:15" hidden="1" x14ac:dyDescent="0.35">
      <c r="A158" t="s">
        <v>213</v>
      </c>
      <c r="B158" t="s">
        <v>213</v>
      </c>
      <c r="C158" t="s">
        <v>214</v>
      </c>
      <c r="D158">
        <v>100471</v>
      </c>
      <c r="E158" t="s">
        <v>149</v>
      </c>
      <c r="F158">
        <v>0</v>
      </c>
      <c r="G158">
        <v>0</v>
      </c>
      <c r="H158">
        <v>0</v>
      </c>
      <c r="I158">
        <v>0</v>
      </c>
      <c r="J158">
        <v>0</v>
      </c>
      <c r="K158" t="s">
        <v>109</v>
      </c>
      <c r="L158">
        <v>0</v>
      </c>
      <c r="M158">
        <v>0</v>
      </c>
      <c r="N158">
        <v>0</v>
      </c>
      <c r="O158">
        <v>0</v>
      </c>
    </row>
    <row r="159" spans="1:15" hidden="1" x14ac:dyDescent="0.35">
      <c r="A159" t="s">
        <v>213</v>
      </c>
      <c r="B159" t="s">
        <v>213</v>
      </c>
      <c r="C159" t="s">
        <v>214</v>
      </c>
      <c r="D159">
        <v>100471</v>
      </c>
      <c r="E159" t="s">
        <v>150</v>
      </c>
      <c r="F159">
        <v>0</v>
      </c>
      <c r="G159">
        <v>0</v>
      </c>
      <c r="H159">
        <v>0</v>
      </c>
      <c r="I159">
        <v>0</v>
      </c>
      <c r="J159">
        <v>0</v>
      </c>
      <c r="K159" t="s">
        <v>109</v>
      </c>
      <c r="L159">
        <v>0</v>
      </c>
      <c r="M159">
        <v>0</v>
      </c>
      <c r="N159">
        <v>0</v>
      </c>
      <c r="O159">
        <v>0</v>
      </c>
    </row>
    <row r="160" spans="1:15" hidden="1" x14ac:dyDescent="0.35">
      <c r="A160" t="s">
        <v>213</v>
      </c>
      <c r="B160" t="s">
        <v>213</v>
      </c>
      <c r="C160" t="s">
        <v>214</v>
      </c>
      <c r="D160">
        <v>100471</v>
      </c>
      <c r="E160" t="s">
        <v>151</v>
      </c>
      <c r="F160">
        <v>0</v>
      </c>
      <c r="G160">
        <v>0</v>
      </c>
      <c r="H160">
        <v>0</v>
      </c>
      <c r="I160">
        <v>0</v>
      </c>
      <c r="J160">
        <v>0</v>
      </c>
      <c r="K160" t="s">
        <v>109</v>
      </c>
      <c r="L160">
        <v>0</v>
      </c>
      <c r="M160">
        <v>0</v>
      </c>
      <c r="N160">
        <v>0</v>
      </c>
      <c r="O160">
        <v>0</v>
      </c>
    </row>
    <row r="161" spans="1:15" hidden="1" x14ac:dyDescent="0.35">
      <c r="A161" t="s">
        <v>213</v>
      </c>
      <c r="B161" t="s">
        <v>213</v>
      </c>
      <c r="C161" t="s">
        <v>214</v>
      </c>
      <c r="D161">
        <v>100471</v>
      </c>
      <c r="E161" t="s">
        <v>152</v>
      </c>
      <c r="F161">
        <v>0</v>
      </c>
      <c r="G161">
        <v>0</v>
      </c>
      <c r="H161">
        <v>0</v>
      </c>
      <c r="I161">
        <v>0</v>
      </c>
      <c r="J161">
        <v>0</v>
      </c>
      <c r="K161" t="s">
        <v>109</v>
      </c>
      <c r="L161">
        <v>0</v>
      </c>
      <c r="M161">
        <v>0</v>
      </c>
      <c r="N161">
        <v>0</v>
      </c>
      <c r="O161">
        <v>0</v>
      </c>
    </row>
    <row r="162" spans="1:15" hidden="1" x14ac:dyDescent="0.35">
      <c r="A162" t="s">
        <v>213</v>
      </c>
      <c r="B162" t="s">
        <v>213</v>
      </c>
      <c r="C162" t="s">
        <v>214</v>
      </c>
      <c r="D162">
        <v>100471</v>
      </c>
      <c r="E162" t="s">
        <v>153</v>
      </c>
      <c r="F162">
        <v>0</v>
      </c>
      <c r="G162">
        <v>0</v>
      </c>
      <c r="H162">
        <v>0</v>
      </c>
      <c r="I162">
        <v>0</v>
      </c>
      <c r="J162">
        <v>0</v>
      </c>
      <c r="K162" t="s">
        <v>109</v>
      </c>
      <c r="L162">
        <v>0</v>
      </c>
      <c r="M162">
        <v>0</v>
      </c>
      <c r="N162">
        <v>0</v>
      </c>
      <c r="O162">
        <v>0</v>
      </c>
    </row>
    <row r="163" spans="1:15" hidden="1" x14ac:dyDescent="0.35">
      <c r="A163" t="s">
        <v>213</v>
      </c>
      <c r="B163" t="s">
        <v>213</v>
      </c>
      <c r="C163" t="s">
        <v>214</v>
      </c>
      <c r="D163">
        <v>100471</v>
      </c>
      <c r="E163" t="s">
        <v>154</v>
      </c>
      <c r="F163">
        <v>0</v>
      </c>
      <c r="G163">
        <v>0</v>
      </c>
      <c r="H163">
        <v>0</v>
      </c>
      <c r="I163">
        <v>0</v>
      </c>
      <c r="J163">
        <v>0</v>
      </c>
      <c r="K163" t="s">
        <v>109</v>
      </c>
      <c r="L163">
        <v>0</v>
      </c>
      <c r="M163">
        <v>0</v>
      </c>
      <c r="N163">
        <v>0</v>
      </c>
      <c r="O163">
        <v>0</v>
      </c>
    </row>
    <row r="164" spans="1:15" hidden="1" x14ac:dyDescent="0.35">
      <c r="A164" t="s">
        <v>213</v>
      </c>
      <c r="B164" t="s">
        <v>213</v>
      </c>
      <c r="C164" t="s">
        <v>214</v>
      </c>
      <c r="D164">
        <v>100471</v>
      </c>
      <c r="E164" t="s">
        <v>155</v>
      </c>
      <c r="F164">
        <v>0</v>
      </c>
      <c r="G164">
        <v>0</v>
      </c>
      <c r="H164">
        <v>0</v>
      </c>
      <c r="I164">
        <v>0</v>
      </c>
      <c r="J164">
        <v>0</v>
      </c>
      <c r="K164" t="s">
        <v>109</v>
      </c>
      <c r="L164">
        <v>0</v>
      </c>
      <c r="M164">
        <v>0</v>
      </c>
      <c r="N164">
        <v>0</v>
      </c>
      <c r="O164">
        <v>0</v>
      </c>
    </row>
    <row r="165" spans="1:15" hidden="1" x14ac:dyDescent="0.35">
      <c r="A165" t="s">
        <v>213</v>
      </c>
      <c r="B165" t="s">
        <v>213</v>
      </c>
      <c r="C165" t="s">
        <v>214</v>
      </c>
      <c r="D165">
        <v>100471</v>
      </c>
      <c r="E165" t="s">
        <v>156</v>
      </c>
      <c r="F165">
        <v>0</v>
      </c>
      <c r="G165">
        <v>0</v>
      </c>
      <c r="H165">
        <v>0</v>
      </c>
      <c r="I165">
        <v>0</v>
      </c>
      <c r="J165">
        <v>0</v>
      </c>
      <c r="K165" t="s">
        <v>109</v>
      </c>
      <c r="L165">
        <v>0</v>
      </c>
      <c r="M165">
        <v>0</v>
      </c>
      <c r="N165">
        <v>0</v>
      </c>
      <c r="O165">
        <v>0</v>
      </c>
    </row>
    <row r="166" spans="1:15" hidden="1" x14ac:dyDescent="0.35">
      <c r="A166" t="s">
        <v>213</v>
      </c>
      <c r="B166" t="s">
        <v>213</v>
      </c>
      <c r="C166" t="s">
        <v>214</v>
      </c>
      <c r="D166">
        <v>100471</v>
      </c>
      <c r="E166" t="s">
        <v>157</v>
      </c>
      <c r="F166">
        <v>0</v>
      </c>
      <c r="G166">
        <v>0</v>
      </c>
      <c r="H166">
        <v>0</v>
      </c>
      <c r="I166">
        <v>0</v>
      </c>
      <c r="J166">
        <v>0</v>
      </c>
      <c r="K166" t="s">
        <v>109</v>
      </c>
      <c r="L166">
        <v>0</v>
      </c>
      <c r="M166">
        <v>0</v>
      </c>
      <c r="N166">
        <v>0</v>
      </c>
      <c r="O166">
        <v>0</v>
      </c>
    </row>
    <row r="167" spans="1:15" hidden="1" x14ac:dyDescent="0.35">
      <c r="A167" t="s">
        <v>213</v>
      </c>
      <c r="B167" t="s">
        <v>213</v>
      </c>
      <c r="C167" t="s">
        <v>214</v>
      </c>
      <c r="D167">
        <v>100471</v>
      </c>
      <c r="E167" t="s">
        <v>158</v>
      </c>
      <c r="F167">
        <v>0</v>
      </c>
      <c r="G167">
        <v>0</v>
      </c>
      <c r="H167">
        <v>0</v>
      </c>
      <c r="I167">
        <v>0</v>
      </c>
      <c r="J167">
        <v>0</v>
      </c>
      <c r="K167" t="s">
        <v>109</v>
      </c>
      <c r="L167">
        <v>0</v>
      </c>
      <c r="M167">
        <v>0</v>
      </c>
      <c r="N167">
        <v>0</v>
      </c>
      <c r="O167">
        <v>0</v>
      </c>
    </row>
    <row r="168" spans="1:15" hidden="1" x14ac:dyDescent="0.35">
      <c r="A168" t="s">
        <v>213</v>
      </c>
      <c r="B168" t="s">
        <v>213</v>
      </c>
      <c r="C168" t="s">
        <v>214</v>
      </c>
      <c r="D168">
        <v>100471</v>
      </c>
      <c r="E168" t="s">
        <v>159</v>
      </c>
      <c r="F168">
        <v>0</v>
      </c>
      <c r="G168">
        <v>0</v>
      </c>
      <c r="H168">
        <v>0</v>
      </c>
      <c r="I168">
        <v>0</v>
      </c>
      <c r="J168">
        <v>0</v>
      </c>
      <c r="K168" t="s">
        <v>109</v>
      </c>
      <c r="L168">
        <v>0</v>
      </c>
      <c r="M168">
        <v>0</v>
      </c>
      <c r="N168">
        <v>0</v>
      </c>
      <c r="O168">
        <v>0</v>
      </c>
    </row>
    <row r="169" spans="1:15" hidden="1" x14ac:dyDescent="0.35">
      <c r="A169" t="s">
        <v>213</v>
      </c>
      <c r="B169" t="s">
        <v>213</v>
      </c>
      <c r="C169" t="s">
        <v>214</v>
      </c>
      <c r="D169">
        <v>100471</v>
      </c>
      <c r="E169" t="s">
        <v>160</v>
      </c>
      <c r="F169">
        <v>0</v>
      </c>
      <c r="G169">
        <v>0</v>
      </c>
      <c r="H169">
        <v>0</v>
      </c>
      <c r="I169">
        <v>0</v>
      </c>
      <c r="J169">
        <v>0</v>
      </c>
      <c r="K169" t="s">
        <v>109</v>
      </c>
      <c r="L169">
        <v>0</v>
      </c>
      <c r="M169">
        <v>0</v>
      </c>
      <c r="N169">
        <v>0</v>
      </c>
      <c r="O169">
        <v>0</v>
      </c>
    </row>
    <row r="170" spans="1:15" hidden="1" x14ac:dyDescent="0.35">
      <c r="A170" t="s">
        <v>213</v>
      </c>
      <c r="B170" t="s">
        <v>213</v>
      </c>
      <c r="C170" t="s">
        <v>214</v>
      </c>
      <c r="D170">
        <v>100471</v>
      </c>
      <c r="E170" t="s">
        <v>161</v>
      </c>
      <c r="F170">
        <v>0</v>
      </c>
      <c r="G170">
        <v>0</v>
      </c>
      <c r="H170">
        <v>0</v>
      </c>
      <c r="I170">
        <v>0</v>
      </c>
      <c r="J170">
        <v>0</v>
      </c>
      <c r="K170" t="s">
        <v>109</v>
      </c>
      <c r="L170">
        <v>0</v>
      </c>
      <c r="M170">
        <v>0</v>
      </c>
      <c r="N170">
        <v>0</v>
      </c>
      <c r="O170">
        <v>0</v>
      </c>
    </row>
    <row r="171" spans="1:15" hidden="1" x14ac:dyDescent="0.35">
      <c r="A171" t="s">
        <v>213</v>
      </c>
      <c r="B171" t="s">
        <v>213</v>
      </c>
      <c r="C171" t="s">
        <v>214</v>
      </c>
      <c r="D171">
        <v>100471</v>
      </c>
      <c r="E171" t="s">
        <v>162</v>
      </c>
      <c r="F171">
        <v>0</v>
      </c>
      <c r="G171">
        <v>0</v>
      </c>
      <c r="H171">
        <v>0</v>
      </c>
      <c r="I171">
        <v>0</v>
      </c>
      <c r="J171">
        <v>0</v>
      </c>
      <c r="K171" t="s">
        <v>109</v>
      </c>
      <c r="L171">
        <v>0</v>
      </c>
      <c r="M171">
        <v>0</v>
      </c>
      <c r="N171">
        <v>0</v>
      </c>
      <c r="O171">
        <v>0</v>
      </c>
    </row>
    <row r="172" spans="1:15" hidden="1" x14ac:dyDescent="0.35">
      <c r="A172" t="s">
        <v>213</v>
      </c>
      <c r="B172" t="s">
        <v>213</v>
      </c>
      <c r="C172" t="s">
        <v>214</v>
      </c>
      <c r="D172">
        <v>100471</v>
      </c>
      <c r="E172" t="s">
        <v>163</v>
      </c>
      <c r="F172">
        <v>0</v>
      </c>
      <c r="G172">
        <v>0</v>
      </c>
      <c r="H172">
        <v>0</v>
      </c>
      <c r="I172">
        <v>0</v>
      </c>
      <c r="J172">
        <v>0</v>
      </c>
      <c r="K172" t="s">
        <v>109</v>
      </c>
      <c r="L172">
        <v>0</v>
      </c>
      <c r="M172">
        <v>0</v>
      </c>
      <c r="N172">
        <v>0</v>
      </c>
      <c r="O172">
        <v>0</v>
      </c>
    </row>
    <row r="173" spans="1:15" hidden="1" x14ac:dyDescent="0.35">
      <c r="A173" t="s">
        <v>213</v>
      </c>
      <c r="B173" t="s">
        <v>213</v>
      </c>
      <c r="C173" t="s">
        <v>214</v>
      </c>
      <c r="D173">
        <v>100471</v>
      </c>
      <c r="E173" t="s">
        <v>164</v>
      </c>
      <c r="F173">
        <v>0</v>
      </c>
      <c r="G173">
        <v>0</v>
      </c>
      <c r="H173">
        <v>0</v>
      </c>
      <c r="I173">
        <v>0</v>
      </c>
      <c r="J173">
        <v>0</v>
      </c>
      <c r="K173" t="s">
        <v>109</v>
      </c>
      <c r="L173">
        <v>0</v>
      </c>
      <c r="M173">
        <v>0</v>
      </c>
      <c r="N173">
        <v>0</v>
      </c>
      <c r="O173">
        <v>0</v>
      </c>
    </row>
    <row r="174" spans="1:15" hidden="1" x14ac:dyDescent="0.35">
      <c r="A174" t="s">
        <v>213</v>
      </c>
      <c r="B174" t="s">
        <v>213</v>
      </c>
      <c r="C174" t="s">
        <v>214</v>
      </c>
      <c r="D174">
        <v>100471</v>
      </c>
      <c r="E174" t="s">
        <v>165</v>
      </c>
      <c r="F174">
        <v>0</v>
      </c>
      <c r="G174">
        <v>0</v>
      </c>
      <c r="H174">
        <v>0</v>
      </c>
      <c r="I174">
        <v>0</v>
      </c>
      <c r="J174">
        <v>0</v>
      </c>
      <c r="K174" t="s">
        <v>109</v>
      </c>
      <c r="L174">
        <v>0</v>
      </c>
      <c r="M174">
        <v>0</v>
      </c>
      <c r="N174">
        <v>0</v>
      </c>
      <c r="O174">
        <v>0</v>
      </c>
    </row>
    <row r="175" spans="1:15" hidden="1" x14ac:dyDescent="0.35">
      <c r="A175" t="s">
        <v>213</v>
      </c>
      <c r="B175" t="s">
        <v>213</v>
      </c>
      <c r="C175" t="s">
        <v>214</v>
      </c>
      <c r="D175">
        <v>100471</v>
      </c>
      <c r="E175" t="s">
        <v>166</v>
      </c>
      <c r="F175">
        <v>0</v>
      </c>
      <c r="G175">
        <v>0</v>
      </c>
      <c r="H175">
        <v>0</v>
      </c>
      <c r="I175">
        <v>0</v>
      </c>
      <c r="J175">
        <v>0</v>
      </c>
      <c r="K175" t="s">
        <v>109</v>
      </c>
      <c r="L175">
        <v>0</v>
      </c>
      <c r="M175">
        <v>0</v>
      </c>
      <c r="N175">
        <v>0</v>
      </c>
      <c r="O175">
        <v>0</v>
      </c>
    </row>
    <row r="176" spans="1:15" hidden="1" x14ac:dyDescent="0.35">
      <c r="A176" t="s">
        <v>213</v>
      </c>
      <c r="B176" t="s">
        <v>213</v>
      </c>
      <c r="C176" t="s">
        <v>214</v>
      </c>
      <c r="D176">
        <v>100471</v>
      </c>
      <c r="E176" t="s">
        <v>167</v>
      </c>
      <c r="F176">
        <v>0</v>
      </c>
      <c r="G176">
        <v>0</v>
      </c>
      <c r="H176">
        <v>0</v>
      </c>
      <c r="I176">
        <v>0</v>
      </c>
      <c r="J176">
        <v>0</v>
      </c>
      <c r="K176" t="s">
        <v>109</v>
      </c>
      <c r="L176">
        <v>0</v>
      </c>
      <c r="M176">
        <v>0</v>
      </c>
      <c r="N176">
        <v>0</v>
      </c>
      <c r="O176">
        <v>0</v>
      </c>
    </row>
    <row r="177" spans="1:15" hidden="1" x14ac:dyDescent="0.35">
      <c r="A177" t="s">
        <v>213</v>
      </c>
      <c r="B177" t="s">
        <v>213</v>
      </c>
      <c r="C177" t="s">
        <v>214</v>
      </c>
      <c r="D177">
        <v>100471</v>
      </c>
      <c r="E177" t="s">
        <v>168</v>
      </c>
      <c r="F177">
        <v>0</v>
      </c>
      <c r="G177">
        <v>0</v>
      </c>
      <c r="H177">
        <v>0</v>
      </c>
      <c r="I177">
        <v>0</v>
      </c>
      <c r="J177">
        <v>0</v>
      </c>
      <c r="K177" t="s">
        <v>109</v>
      </c>
      <c r="L177">
        <v>0</v>
      </c>
      <c r="M177">
        <v>0</v>
      </c>
      <c r="N177">
        <v>0</v>
      </c>
      <c r="O177">
        <v>0</v>
      </c>
    </row>
    <row r="178" spans="1:15" hidden="1" x14ac:dyDescent="0.35">
      <c r="A178" t="s">
        <v>213</v>
      </c>
      <c r="B178" t="s">
        <v>213</v>
      </c>
      <c r="C178" t="s">
        <v>214</v>
      </c>
      <c r="D178">
        <v>100471</v>
      </c>
      <c r="E178" t="s">
        <v>169</v>
      </c>
      <c r="F178">
        <v>0</v>
      </c>
      <c r="G178">
        <v>0</v>
      </c>
      <c r="H178">
        <v>0</v>
      </c>
      <c r="I178">
        <v>0</v>
      </c>
      <c r="J178">
        <v>0</v>
      </c>
      <c r="K178" t="s">
        <v>109</v>
      </c>
      <c r="L178">
        <v>0</v>
      </c>
      <c r="M178">
        <v>0</v>
      </c>
      <c r="N178">
        <v>0</v>
      </c>
      <c r="O178">
        <v>0</v>
      </c>
    </row>
    <row r="179" spans="1:15" hidden="1" x14ac:dyDescent="0.35">
      <c r="A179" t="s">
        <v>213</v>
      </c>
      <c r="B179" t="s">
        <v>213</v>
      </c>
      <c r="C179" t="s">
        <v>214</v>
      </c>
      <c r="D179">
        <v>100471</v>
      </c>
      <c r="E179" t="s">
        <v>170</v>
      </c>
      <c r="F179">
        <v>0</v>
      </c>
      <c r="G179">
        <v>0</v>
      </c>
      <c r="H179">
        <v>0</v>
      </c>
      <c r="I179">
        <v>0</v>
      </c>
      <c r="J179">
        <v>0</v>
      </c>
      <c r="K179" t="s">
        <v>109</v>
      </c>
      <c r="L179">
        <v>0</v>
      </c>
      <c r="M179">
        <v>0</v>
      </c>
      <c r="N179">
        <v>0</v>
      </c>
      <c r="O179">
        <v>0</v>
      </c>
    </row>
    <row r="180" spans="1:15" hidden="1" x14ac:dyDescent="0.35">
      <c r="A180" t="s">
        <v>213</v>
      </c>
      <c r="B180" t="s">
        <v>213</v>
      </c>
      <c r="C180" t="s">
        <v>214</v>
      </c>
      <c r="D180">
        <v>100471</v>
      </c>
      <c r="E180" t="s">
        <v>171</v>
      </c>
      <c r="F180">
        <v>0</v>
      </c>
      <c r="G180">
        <v>0</v>
      </c>
      <c r="H180">
        <v>0</v>
      </c>
      <c r="I180">
        <v>0</v>
      </c>
      <c r="J180">
        <v>0</v>
      </c>
      <c r="K180" t="s">
        <v>109</v>
      </c>
      <c r="L180">
        <v>0</v>
      </c>
      <c r="M180">
        <v>0</v>
      </c>
      <c r="N180">
        <v>0</v>
      </c>
      <c r="O180">
        <v>0</v>
      </c>
    </row>
    <row r="181" spans="1:15" hidden="1" x14ac:dyDescent="0.35">
      <c r="A181" t="s">
        <v>213</v>
      </c>
      <c r="B181" t="s">
        <v>213</v>
      </c>
      <c r="C181" t="s">
        <v>214</v>
      </c>
      <c r="D181">
        <v>100471</v>
      </c>
      <c r="E181" t="s">
        <v>172</v>
      </c>
      <c r="F181">
        <v>0</v>
      </c>
      <c r="G181">
        <v>0</v>
      </c>
      <c r="H181">
        <v>0</v>
      </c>
      <c r="I181">
        <v>0</v>
      </c>
      <c r="J181">
        <v>0</v>
      </c>
      <c r="K181" t="s">
        <v>109</v>
      </c>
      <c r="L181">
        <v>0</v>
      </c>
      <c r="M181">
        <v>0</v>
      </c>
      <c r="N181">
        <v>0</v>
      </c>
      <c r="O181">
        <v>0</v>
      </c>
    </row>
    <row r="182" spans="1:15" hidden="1" x14ac:dyDescent="0.35">
      <c r="A182" t="s">
        <v>213</v>
      </c>
      <c r="B182" t="s">
        <v>213</v>
      </c>
      <c r="C182" t="s">
        <v>214</v>
      </c>
      <c r="D182">
        <v>100471</v>
      </c>
      <c r="E182" t="s">
        <v>173</v>
      </c>
      <c r="F182">
        <v>0</v>
      </c>
      <c r="G182">
        <v>0</v>
      </c>
      <c r="H182">
        <v>0</v>
      </c>
      <c r="I182">
        <v>0</v>
      </c>
      <c r="J182">
        <v>0</v>
      </c>
      <c r="K182" t="s">
        <v>109</v>
      </c>
      <c r="L182">
        <v>0</v>
      </c>
      <c r="M182">
        <v>0</v>
      </c>
      <c r="N182">
        <v>0</v>
      </c>
      <c r="O182">
        <v>0</v>
      </c>
    </row>
    <row r="183" spans="1:15" hidden="1" x14ac:dyDescent="0.35">
      <c r="A183" t="s">
        <v>213</v>
      </c>
      <c r="B183" t="s">
        <v>213</v>
      </c>
      <c r="C183" t="s">
        <v>214</v>
      </c>
      <c r="D183">
        <v>100471</v>
      </c>
      <c r="E183" t="s">
        <v>174</v>
      </c>
      <c r="F183">
        <v>0</v>
      </c>
      <c r="G183">
        <v>0</v>
      </c>
      <c r="H183">
        <v>0</v>
      </c>
      <c r="I183">
        <v>0</v>
      </c>
      <c r="J183">
        <v>0</v>
      </c>
      <c r="K183" t="s">
        <v>109</v>
      </c>
      <c r="L183">
        <v>0</v>
      </c>
      <c r="M183">
        <v>0</v>
      </c>
      <c r="N183">
        <v>0</v>
      </c>
      <c r="O183">
        <v>0</v>
      </c>
    </row>
    <row r="184" spans="1:15" hidden="1" x14ac:dyDescent="0.35">
      <c r="A184" t="s">
        <v>213</v>
      </c>
      <c r="B184" t="s">
        <v>213</v>
      </c>
      <c r="C184" t="s">
        <v>214</v>
      </c>
      <c r="D184">
        <v>100471</v>
      </c>
      <c r="E184" t="s">
        <v>175</v>
      </c>
      <c r="F184">
        <v>0</v>
      </c>
      <c r="G184">
        <v>0</v>
      </c>
      <c r="H184">
        <v>0</v>
      </c>
      <c r="I184">
        <v>0</v>
      </c>
      <c r="J184">
        <v>0</v>
      </c>
      <c r="K184" t="s">
        <v>109</v>
      </c>
      <c r="L184">
        <v>0</v>
      </c>
      <c r="M184">
        <v>0</v>
      </c>
      <c r="N184">
        <v>0</v>
      </c>
      <c r="O184">
        <v>0</v>
      </c>
    </row>
    <row r="185" spans="1:15" hidden="1" x14ac:dyDescent="0.35">
      <c r="A185" t="s">
        <v>213</v>
      </c>
      <c r="B185" t="s">
        <v>213</v>
      </c>
      <c r="C185" t="s">
        <v>214</v>
      </c>
      <c r="D185">
        <v>100471</v>
      </c>
      <c r="E185" t="s">
        <v>176</v>
      </c>
      <c r="F185">
        <v>0</v>
      </c>
      <c r="G185">
        <v>0</v>
      </c>
      <c r="H185">
        <v>0</v>
      </c>
      <c r="I185">
        <v>0</v>
      </c>
      <c r="J185">
        <v>0</v>
      </c>
      <c r="K185" t="s">
        <v>109</v>
      </c>
      <c r="L185">
        <v>0</v>
      </c>
      <c r="M185">
        <v>0</v>
      </c>
      <c r="N185">
        <v>0</v>
      </c>
      <c r="O185">
        <v>0</v>
      </c>
    </row>
    <row r="186" spans="1:15" hidden="1" x14ac:dyDescent="0.35">
      <c r="A186" t="s">
        <v>213</v>
      </c>
      <c r="B186" t="s">
        <v>213</v>
      </c>
      <c r="C186" t="s">
        <v>214</v>
      </c>
      <c r="D186">
        <v>100471</v>
      </c>
      <c r="E186" t="s">
        <v>177</v>
      </c>
      <c r="F186">
        <v>0</v>
      </c>
      <c r="G186">
        <v>0</v>
      </c>
      <c r="H186">
        <v>0</v>
      </c>
      <c r="I186">
        <v>0</v>
      </c>
      <c r="J186">
        <v>0</v>
      </c>
      <c r="K186" t="s">
        <v>109</v>
      </c>
      <c r="L186">
        <v>0</v>
      </c>
      <c r="M186">
        <v>0</v>
      </c>
      <c r="N186">
        <v>0</v>
      </c>
      <c r="O186">
        <v>0</v>
      </c>
    </row>
    <row r="187" spans="1:15" hidden="1" x14ac:dyDescent="0.35">
      <c r="A187" t="s">
        <v>213</v>
      </c>
      <c r="B187" t="s">
        <v>213</v>
      </c>
      <c r="C187" t="s">
        <v>214</v>
      </c>
      <c r="D187">
        <v>100471</v>
      </c>
      <c r="E187" t="s">
        <v>178</v>
      </c>
      <c r="F187">
        <v>0</v>
      </c>
      <c r="G187">
        <v>0</v>
      </c>
      <c r="H187">
        <v>0</v>
      </c>
      <c r="I187">
        <v>0</v>
      </c>
      <c r="J187">
        <v>0</v>
      </c>
      <c r="K187" t="s">
        <v>109</v>
      </c>
      <c r="L187">
        <v>0</v>
      </c>
      <c r="M187">
        <v>0</v>
      </c>
      <c r="N187">
        <v>0</v>
      </c>
      <c r="O187">
        <v>0</v>
      </c>
    </row>
    <row r="188" spans="1:15" hidden="1" x14ac:dyDescent="0.35">
      <c r="A188" t="s">
        <v>213</v>
      </c>
      <c r="B188" t="s">
        <v>213</v>
      </c>
      <c r="C188" t="s">
        <v>214</v>
      </c>
      <c r="D188">
        <v>100471</v>
      </c>
      <c r="E188" t="s">
        <v>179</v>
      </c>
      <c r="F188">
        <v>0</v>
      </c>
      <c r="G188">
        <v>0</v>
      </c>
      <c r="H188">
        <v>0</v>
      </c>
      <c r="I188">
        <v>0</v>
      </c>
      <c r="J188">
        <v>0</v>
      </c>
      <c r="K188" t="s">
        <v>109</v>
      </c>
      <c r="L188">
        <v>0</v>
      </c>
      <c r="M188">
        <v>0</v>
      </c>
      <c r="N188">
        <v>0</v>
      </c>
      <c r="O188">
        <v>0</v>
      </c>
    </row>
    <row r="189" spans="1:15" hidden="1" x14ac:dyDescent="0.35">
      <c r="A189" t="s">
        <v>213</v>
      </c>
      <c r="B189" t="s">
        <v>213</v>
      </c>
      <c r="C189" t="s">
        <v>214</v>
      </c>
      <c r="D189">
        <v>100471</v>
      </c>
      <c r="E189" t="s">
        <v>180</v>
      </c>
      <c r="F189">
        <v>0</v>
      </c>
      <c r="G189">
        <v>0</v>
      </c>
      <c r="H189">
        <v>0</v>
      </c>
      <c r="I189">
        <v>0</v>
      </c>
      <c r="J189">
        <v>0</v>
      </c>
      <c r="K189" t="s">
        <v>109</v>
      </c>
      <c r="L189">
        <v>0</v>
      </c>
      <c r="M189">
        <v>0</v>
      </c>
      <c r="N189">
        <v>0</v>
      </c>
      <c r="O189">
        <v>0</v>
      </c>
    </row>
    <row r="190" spans="1:15" hidden="1" x14ac:dyDescent="0.35">
      <c r="A190" t="s">
        <v>213</v>
      </c>
      <c r="B190" t="s">
        <v>213</v>
      </c>
      <c r="C190" t="s">
        <v>214</v>
      </c>
      <c r="D190">
        <v>100471</v>
      </c>
      <c r="E190" t="s">
        <v>181</v>
      </c>
      <c r="F190">
        <v>0</v>
      </c>
      <c r="G190">
        <v>0</v>
      </c>
      <c r="H190">
        <v>0</v>
      </c>
      <c r="I190">
        <v>0</v>
      </c>
      <c r="J190">
        <v>0</v>
      </c>
      <c r="K190" t="s">
        <v>109</v>
      </c>
      <c r="L190">
        <v>0</v>
      </c>
      <c r="M190">
        <v>0</v>
      </c>
      <c r="N190">
        <v>0</v>
      </c>
      <c r="O190">
        <v>0</v>
      </c>
    </row>
    <row r="191" spans="1:15" hidden="1" x14ac:dyDescent="0.35">
      <c r="A191" t="s">
        <v>213</v>
      </c>
      <c r="B191" t="s">
        <v>213</v>
      </c>
      <c r="C191" t="s">
        <v>214</v>
      </c>
      <c r="D191">
        <v>100471</v>
      </c>
      <c r="E191" t="s">
        <v>182</v>
      </c>
      <c r="F191">
        <v>0</v>
      </c>
      <c r="G191">
        <v>0</v>
      </c>
      <c r="H191">
        <v>0</v>
      </c>
      <c r="I191">
        <v>0</v>
      </c>
      <c r="J191">
        <v>0</v>
      </c>
      <c r="K191" t="s">
        <v>109</v>
      </c>
      <c r="L191">
        <v>0</v>
      </c>
      <c r="M191">
        <v>0</v>
      </c>
      <c r="N191">
        <v>0</v>
      </c>
      <c r="O191">
        <v>0</v>
      </c>
    </row>
    <row r="192" spans="1:15" hidden="1" x14ac:dyDescent="0.35">
      <c r="A192" t="s">
        <v>213</v>
      </c>
      <c r="B192" t="s">
        <v>213</v>
      </c>
      <c r="C192" t="s">
        <v>214</v>
      </c>
      <c r="D192">
        <v>100471</v>
      </c>
      <c r="E192" t="s">
        <v>183</v>
      </c>
      <c r="F192">
        <v>0</v>
      </c>
      <c r="G192">
        <v>0</v>
      </c>
      <c r="H192">
        <v>0</v>
      </c>
      <c r="I192">
        <v>0</v>
      </c>
      <c r="J192">
        <v>0</v>
      </c>
      <c r="K192" t="s">
        <v>109</v>
      </c>
      <c r="L192">
        <v>0</v>
      </c>
      <c r="M192">
        <v>0</v>
      </c>
      <c r="N192">
        <v>0</v>
      </c>
      <c r="O192">
        <v>0</v>
      </c>
    </row>
    <row r="193" spans="1:15" hidden="1" x14ac:dyDescent="0.35">
      <c r="A193" t="s">
        <v>213</v>
      </c>
      <c r="B193" t="s">
        <v>213</v>
      </c>
      <c r="C193" t="s">
        <v>214</v>
      </c>
      <c r="D193">
        <v>100471</v>
      </c>
      <c r="E193" t="s">
        <v>184</v>
      </c>
      <c r="F193">
        <v>0</v>
      </c>
      <c r="G193">
        <v>0</v>
      </c>
      <c r="H193">
        <v>0</v>
      </c>
      <c r="I193">
        <v>0</v>
      </c>
      <c r="J193">
        <v>0</v>
      </c>
      <c r="K193" t="s">
        <v>109</v>
      </c>
      <c r="L193">
        <v>0</v>
      </c>
      <c r="M193">
        <v>0</v>
      </c>
      <c r="N193">
        <v>0</v>
      </c>
      <c r="O193">
        <v>0</v>
      </c>
    </row>
    <row r="194" spans="1:15" hidden="1" x14ac:dyDescent="0.35">
      <c r="A194" t="s">
        <v>213</v>
      </c>
      <c r="B194" t="s">
        <v>213</v>
      </c>
      <c r="C194" t="s">
        <v>214</v>
      </c>
      <c r="D194">
        <v>100471</v>
      </c>
      <c r="E194" t="s">
        <v>185</v>
      </c>
      <c r="F194">
        <v>0</v>
      </c>
      <c r="G194">
        <v>0</v>
      </c>
      <c r="H194">
        <v>0</v>
      </c>
      <c r="I194">
        <v>0</v>
      </c>
      <c r="J194">
        <v>0</v>
      </c>
      <c r="K194" t="s">
        <v>109</v>
      </c>
      <c r="L194">
        <v>0</v>
      </c>
      <c r="M194">
        <v>0</v>
      </c>
      <c r="N194">
        <v>0</v>
      </c>
      <c r="O194">
        <v>0</v>
      </c>
    </row>
    <row r="195" spans="1:15" hidden="1" x14ac:dyDescent="0.35">
      <c r="A195" t="s">
        <v>213</v>
      </c>
      <c r="B195" t="s">
        <v>213</v>
      </c>
      <c r="C195" t="s">
        <v>214</v>
      </c>
      <c r="D195">
        <v>100471</v>
      </c>
      <c r="E195" t="s">
        <v>186</v>
      </c>
      <c r="F195">
        <v>0</v>
      </c>
      <c r="G195">
        <v>0</v>
      </c>
      <c r="H195">
        <v>0</v>
      </c>
      <c r="I195">
        <v>0</v>
      </c>
      <c r="J195">
        <v>0</v>
      </c>
      <c r="K195" t="s">
        <v>109</v>
      </c>
      <c r="L195">
        <v>0</v>
      </c>
      <c r="M195">
        <v>0</v>
      </c>
      <c r="N195">
        <v>0</v>
      </c>
      <c r="O195">
        <v>0</v>
      </c>
    </row>
    <row r="196" spans="1:15" hidden="1" x14ac:dyDescent="0.35">
      <c r="A196" t="s">
        <v>213</v>
      </c>
      <c r="B196" t="s">
        <v>213</v>
      </c>
      <c r="C196" t="s">
        <v>214</v>
      </c>
      <c r="D196">
        <v>100471</v>
      </c>
      <c r="E196" t="s">
        <v>187</v>
      </c>
      <c r="F196">
        <v>0</v>
      </c>
      <c r="G196">
        <v>0</v>
      </c>
      <c r="H196">
        <v>0</v>
      </c>
      <c r="I196">
        <v>0</v>
      </c>
      <c r="J196">
        <v>0</v>
      </c>
      <c r="K196" t="s">
        <v>109</v>
      </c>
      <c r="L196">
        <v>0</v>
      </c>
      <c r="M196">
        <v>0</v>
      </c>
      <c r="N196">
        <v>0</v>
      </c>
      <c r="O196">
        <v>0</v>
      </c>
    </row>
    <row r="197" spans="1:15" hidden="1" x14ac:dyDescent="0.35">
      <c r="A197" t="s">
        <v>213</v>
      </c>
      <c r="B197" t="s">
        <v>213</v>
      </c>
      <c r="C197" t="s">
        <v>214</v>
      </c>
      <c r="D197">
        <v>100471</v>
      </c>
      <c r="E197" t="s">
        <v>188</v>
      </c>
      <c r="F197">
        <v>0</v>
      </c>
      <c r="G197">
        <v>0</v>
      </c>
      <c r="H197">
        <v>0</v>
      </c>
      <c r="I197">
        <v>0</v>
      </c>
      <c r="J197">
        <v>0</v>
      </c>
      <c r="K197" t="s">
        <v>109</v>
      </c>
      <c r="L197">
        <v>0</v>
      </c>
      <c r="M197">
        <v>0</v>
      </c>
      <c r="N197">
        <v>0</v>
      </c>
      <c r="O197">
        <v>0</v>
      </c>
    </row>
    <row r="198" spans="1:15" hidden="1" x14ac:dyDescent="0.35">
      <c r="A198" t="s">
        <v>213</v>
      </c>
      <c r="B198" t="s">
        <v>213</v>
      </c>
      <c r="C198" t="s">
        <v>214</v>
      </c>
      <c r="D198">
        <v>100471</v>
      </c>
      <c r="E198" t="s">
        <v>189</v>
      </c>
      <c r="F198">
        <v>0</v>
      </c>
      <c r="G198">
        <v>0</v>
      </c>
      <c r="H198">
        <v>0</v>
      </c>
      <c r="I198">
        <v>0</v>
      </c>
      <c r="J198">
        <v>0</v>
      </c>
      <c r="K198" t="s">
        <v>109</v>
      </c>
      <c r="L198">
        <v>0</v>
      </c>
      <c r="M198">
        <v>0</v>
      </c>
      <c r="N198">
        <v>0</v>
      </c>
      <c r="O198">
        <v>0</v>
      </c>
    </row>
    <row r="199" spans="1:15" hidden="1" x14ac:dyDescent="0.35">
      <c r="A199" t="s">
        <v>213</v>
      </c>
      <c r="B199" t="s">
        <v>213</v>
      </c>
      <c r="C199" t="s">
        <v>214</v>
      </c>
      <c r="D199">
        <v>100471</v>
      </c>
      <c r="E199" t="s">
        <v>190</v>
      </c>
      <c r="F199">
        <v>0</v>
      </c>
      <c r="G199">
        <v>0</v>
      </c>
      <c r="H199">
        <v>0</v>
      </c>
      <c r="I199">
        <v>0</v>
      </c>
      <c r="J199">
        <v>0</v>
      </c>
      <c r="K199" t="s">
        <v>109</v>
      </c>
      <c r="L199">
        <v>0</v>
      </c>
      <c r="M199">
        <v>0</v>
      </c>
      <c r="N199">
        <v>0</v>
      </c>
      <c r="O199">
        <v>0</v>
      </c>
    </row>
    <row r="200" spans="1:15" hidden="1" x14ac:dyDescent="0.35">
      <c r="A200" t="s">
        <v>213</v>
      </c>
      <c r="B200" t="s">
        <v>213</v>
      </c>
      <c r="C200" t="s">
        <v>214</v>
      </c>
      <c r="D200">
        <v>100471</v>
      </c>
      <c r="E200" t="s">
        <v>191</v>
      </c>
      <c r="F200">
        <v>0</v>
      </c>
      <c r="G200">
        <v>0</v>
      </c>
      <c r="H200">
        <v>0</v>
      </c>
      <c r="I200">
        <v>0</v>
      </c>
      <c r="J200">
        <v>0</v>
      </c>
      <c r="K200" t="s">
        <v>109</v>
      </c>
      <c r="L200">
        <v>0</v>
      </c>
      <c r="M200">
        <v>0</v>
      </c>
      <c r="N200">
        <v>0</v>
      </c>
      <c r="O200">
        <v>0</v>
      </c>
    </row>
    <row r="201" spans="1:15" hidden="1" x14ac:dyDescent="0.35">
      <c r="A201" t="s">
        <v>213</v>
      </c>
      <c r="B201" t="s">
        <v>213</v>
      </c>
      <c r="C201" t="s">
        <v>214</v>
      </c>
      <c r="D201">
        <v>100471</v>
      </c>
      <c r="E201" t="s">
        <v>192</v>
      </c>
      <c r="F201">
        <v>0</v>
      </c>
      <c r="G201">
        <v>0</v>
      </c>
      <c r="H201">
        <v>0</v>
      </c>
      <c r="I201">
        <v>0</v>
      </c>
      <c r="J201">
        <v>0</v>
      </c>
      <c r="K201" t="s">
        <v>109</v>
      </c>
      <c r="L201">
        <v>0</v>
      </c>
      <c r="M201">
        <v>0</v>
      </c>
      <c r="N201">
        <v>0</v>
      </c>
      <c r="O201">
        <v>0</v>
      </c>
    </row>
    <row r="202" spans="1:15" hidden="1" x14ac:dyDescent="0.35">
      <c r="A202" t="s">
        <v>213</v>
      </c>
      <c r="B202" t="s">
        <v>213</v>
      </c>
      <c r="C202" t="s">
        <v>214</v>
      </c>
      <c r="D202">
        <v>100471</v>
      </c>
      <c r="E202" t="s">
        <v>203</v>
      </c>
      <c r="F202">
        <v>0</v>
      </c>
      <c r="G202">
        <v>0</v>
      </c>
      <c r="H202">
        <v>0</v>
      </c>
      <c r="I202">
        <v>0</v>
      </c>
      <c r="J202">
        <v>0</v>
      </c>
      <c r="K202" t="s">
        <v>109</v>
      </c>
      <c r="L202">
        <v>0</v>
      </c>
      <c r="M202">
        <v>0</v>
      </c>
      <c r="N202">
        <v>0</v>
      </c>
      <c r="O202">
        <v>0</v>
      </c>
    </row>
    <row r="203" spans="1:15" hidden="1" x14ac:dyDescent="0.35">
      <c r="A203" t="s">
        <v>213</v>
      </c>
      <c r="B203" t="s">
        <v>213</v>
      </c>
      <c r="C203" t="s">
        <v>214</v>
      </c>
      <c r="D203">
        <v>100471</v>
      </c>
      <c r="E203" t="s">
        <v>204</v>
      </c>
      <c r="F203">
        <v>0</v>
      </c>
      <c r="G203">
        <v>0</v>
      </c>
      <c r="H203">
        <v>0</v>
      </c>
      <c r="I203">
        <v>0</v>
      </c>
      <c r="J203">
        <v>0</v>
      </c>
      <c r="K203" t="s">
        <v>109</v>
      </c>
      <c r="L203">
        <v>0</v>
      </c>
      <c r="M203">
        <v>0</v>
      </c>
      <c r="N203">
        <v>0</v>
      </c>
      <c r="O203">
        <v>0</v>
      </c>
    </row>
    <row r="204" spans="1:15" hidden="1" x14ac:dyDescent="0.35">
      <c r="A204" t="s">
        <v>213</v>
      </c>
      <c r="B204" t="s">
        <v>213</v>
      </c>
      <c r="C204" t="s">
        <v>214</v>
      </c>
      <c r="D204">
        <v>100471</v>
      </c>
      <c r="E204" t="s">
        <v>205</v>
      </c>
      <c r="F204">
        <v>0</v>
      </c>
      <c r="G204">
        <v>0</v>
      </c>
      <c r="H204">
        <v>0</v>
      </c>
      <c r="I204">
        <v>0</v>
      </c>
      <c r="J204">
        <v>0</v>
      </c>
      <c r="K204" t="s">
        <v>109</v>
      </c>
      <c r="L204">
        <v>0</v>
      </c>
      <c r="M204">
        <v>0</v>
      </c>
      <c r="N204">
        <v>0</v>
      </c>
      <c r="O204">
        <v>0</v>
      </c>
    </row>
    <row r="205" spans="1:15" hidden="1" x14ac:dyDescent="0.35">
      <c r="A205" t="s">
        <v>213</v>
      </c>
      <c r="B205" t="s">
        <v>213</v>
      </c>
      <c r="C205" t="s">
        <v>214</v>
      </c>
      <c r="D205">
        <v>100471</v>
      </c>
      <c r="E205" t="s">
        <v>206</v>
      </c>
      <c r="F205">
        <v>0</v>
      </c>
      <c r="G205">
        <v>0</v>
      </c>
      <c r="H205">
        <v>0</v>
      </c>
      <c r="I205">
        <v>0</v>
      </c>
      <c r="J205">
        <v>0</v>
      </c>
      <c r="K205" t="s">
        <v>109</v>
      </c>
      <c r="L205">
        <v>0</v>
      </c>
      <c r="M205">
        <v>0</v>
      </c>
      <c r="N205">
        <v>0</v>
      </c>
      <c r="O205">
        <v>0</v>
      </c>
    </row>
    <row r="206" spans="1:15" hidden="1" x14ac:dyDescent="0.35">
      <c r="A206" t="s">
        <v>213</v>
      </c>
      <c r="B206" t="s">
        <v>213</v>
      </c>
      <c r="C206" t="s">
        <v>214</v>
      </c>
      <c r="D206">
        <v>100471</v>
      </c>
      <c r="E206" t="s">
        <v>207</v>
      </c>
      <c r="F206">
        <v>0</v>
      </c>
      <c r="G206">
        <v>0</v>
      </c>
      <c r="H206">
        <v>0</v>
      </c>
      <c r="I206">
        <v>0</v>
      </c>
      <c r="J206">
        <v>0</v>
      </c>
      <c r="K206" t="s">
        <v>109</v>
      </c>
      <c r="L206">
        <v>0</v>
      </c>
      <c r="M206">
        <v>0</v>
      </c>
      <c r="N206">
        <v>0</v>
      </c>
      <c r="O206">
        <v>0</v>
      </c>
    </row>
    <row r="207" spans="1:15" hidden="1" x14ac:dyDescent="0.35">
      <c r="A207" t="s">
        <v>213</v>
      </c>
      <c r="B207" t="s">
        <v>213</v>
      </c>
      <c r="C207" t="s">
        <v>214</v>
      </c>
      <c r="D207">
        <v>100471</v>
      </c>
      <c r="E207" t="s">
        <v>208</v>
      </c>
      <c r="F207">
        <v>0</v>
      </c>
      <c r="G207">
        <v>0</v>
      </c>
      <c r="H207">
        <v>0</v>
      </c>
      <c r="I207">
        <v>0</v>
      </c>
      <c r="J207">
        <v>0</v>
      </c>
      <c r="K207" t="s">
        <v>109</v>
      </c>
      <c r="L207">
        <v>0</v>
      </c>
      <c r="M207">
        <v>0</v>
      </c>
      <c r="N207">
        <v>0</v>
      </c>
      <c r="O207">
        <v>0</v>
      </c>
    </row>
    <row r="208" spans="1:15" hidden="1" x14ac:dyDescent="0.35">
      <c r="A208" t="s">
        <v>213</v>
      </c>
      <c r="B208" t="s">
        <v>213</v>
      </c>
      <c r="C208" t="s">
        <v>214</v>
      </c>
      <c r="D208">
        <v>100471</v>
      </c>
      <c r="E208" t="s">
        <v>209</v>
      </c>
      <c r="F208">
        <v>0</v>
      </c>
      <c r="G208">
        <v>0</v>
      </c>
      <c r="H208">
        <v>0</v>
      </c>
      <c r="I208">
        <v>0</v>
      </c>
      <c r="J208">
        <v>0</v>
      </c>
      <c r="K208" t="s">
        <v>109</v>
      </c>
      <c r="L208">
        <v>0</v>
      </c>
      <c r="M208">
        <v>0</v>
      </c>
      <c r="N208">
        <v>0</v>
      </c>
      <c r="O208">
        <v>0</v>
      </c>
    </row>
    <row r="209" spans="1:15" hidden="1" x14ac:dyDescent="0.35">
      <c r="A209" t="s">
        <v>213</v>
      </c>
      <c r="B209" t="s">
        <v>213</v>
      </c>
      <c r="C209" t="s">
        <v>214</v>
      </c>
      <c r="D209">
        <v>100471</v>
      </c>
      <c r="E209" t="s">
        <v>210</v>
      </c>
      <c r="F209">
        <v>0</v>
      </c>
      <c r="G209">
        <v>0</v>
      </c>
      <c r="H209">
        <v>0</v>
      </c>
      <c r="I209">
        <v>0</v>
      </c>
      <c r="J209">
        <v>0</v>
      </c>
      <c r="K209" t="s">
        <v>109</v>
      </c>
      <c r="L209">
        <v>0</v>
      </c>
      <c r="M209">
        <v>0</v>
      </c>
      <c r="N209">
        <v>0</v>
      </c>
      <c r="O209">
        <v>0</v>
      </c>
    </row>
    <row r="210" spans="1:15" hidden="1" x14ac:dyDescent="0.35">
      <c r="A210" t="s">
        <v>213</v>
      </c>
      <c r="B210" t="s">
        <v>213</v>
      </c>
      <c r="C210" t="s">
        <v>214</v>
      </c>
      <c r="D210">
        <v>100471</v>
      </c>
      <c r="E210" t="s">
        <v>211</v>
      </c>
      <c r="F210">
        <v>0</v>
      </c>
      <c r="G210">
        <v>0</v>
      </c>
      <c r="H210">
        <v>0</v>
      </c>
      <c r="I210">
        <v>0</v>
      </c>
      <c r="J210">
        <v>0</v>
      </c>
      <c r="K210" t="s">
        <v>109</v>
      </c>
      <c r="L210">
        <v>0</v>
      </c>
      <c r="M210">
        <v>0</v>
      </c>
      <c r="N210">
        <v>0</v>
      </c>
      <c r="O210">
        <v>0</v>
      </c>
    </row>
    <row r="211" spans="1:15" hidden="1" x14ac:dyDescent="0.35">
      <c r="A211" t="s">
        <v>213</v>
      </c>
      <c r="B211" t="s">
        <v>213</v>
      </c>
      <c r="C211" t="s">
        <v>214</v>
      </c>
      <c r="D211">
        <v>100471</v>
      </c>
      <c r="E211" t="s">
        <v>212</v>
      </c>
      <c r="F211">
        <v>0</v>
      </c>
      <c r="G211">
        <v>0</v>
      </c>
      <c r="H211">
        <v>0</v>
      </c>
      <c r="I211">
        <v>0</v>
      </c>
      <c r="J211">
        <v>0</v>
      </c>
      <c r="K211" t="s">
        <v>109</v>
      </c>
      <c r="L211">
        <v>0</v>
      </c>
      <c r="M211">
        <v>0</v>
      </c>
      <c r="N211">
        <v>0</v>
      </c>
      <c r="O211">
        <v>0</v>
      </c>
    </row>
    <row r="212" spans="1:15" hidden="1" x14ac:dyDescent="0.35">
      <c r="A212" t="s">
        <v>223</v>
      </c>
      <c r="B212" t="s">
        <v>223</v>
      </c>
      <c r="C212" t="s">
        <v>223</v>
      </c>
      <c r="D212">
        <v>0</v>
      </c>
      <c r="F212">
        <v>0</v>
      </c>
      <c r="G212">
        <v>0</v>
      </c>
      <c r="H212">
        <v>9.5819444444444404</v>
      </c>
      <c r="I212">
        <v>0</v>
      </c>
      <c r="J212">
        <v>0</v>
      </c>
      <c r="K212" t="s">
        <v>109</v>
      </c>
      <c r="L212">
        <v>0</v>
      </c>
      <c r="M212">
        <v>0</v>
      </c>
      <c r="N212">
        <v>0</v>
      </c>
      <c r="O212">
        <v>-9.5819444444444404</v>
      </c>
    </row>
    <row r="213" spans="1:15" hidden="1" x14ac:dyDescent="0.35">
      <c r="A213" t="s">
        <v>93</v>
      </c>
    </row>
    <row r="214" spans="1:15" hidden="1" x14ac:dyDescent="0.35"/>
  </sheetData>
  <autoFilter ref="A1:O214">
    <filterColumn colId="0">
      <filters>
        <filter val="In-Station Core"/>
      </filters>
    </filterColumn>
    <filterColumn colId="2">
      <filters>
        <filter val="UTR Dispatch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13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>
    <row r="1" spans="1:15" x14ac:dyDescent="0.35">
      <c r="A1" t="s">
        <v>94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48</v>
      </c>
      <c r="I1" t="s">
        <v>101</v>
      </c>
      <c r="J1" t="s">
        <v>102</v>
      </c>
      <c r="K1" t="s">
        <v>103</v>
      </c>
      <c r="L1" t="s">
        <v>104</v>
      </c>
      <c r="M1" t="s">
        <v>105</v>
      </c>
      <c r="N1" t="s">
        <v>106</v>
      </c>
      <c r="O1" t="s">
        <v>107</v>
      </c>
    </row>
    <row r="2" spans="1:15" x14ac:dyDescent="0.35">
      <c r="A2" t="s">
        <v>108</v>
      </c>
      <c r="B2" t="s">
        <v>52</v>
      </c>
      <c r="C2" t="s">
        <v>60</v>
      </c>
      <c r="D2">
        <v>100405</v>
      </c>
      <c r="F2">
        <v>2108</v>
      </c>
      <c r="G2">
        <v>2108</v>
      </c>
      <c r="H2">
        <v>0</v>
      </c>
      <c r="I2">
        <v>0</v>
      </c>
      <c r="J2">
        <v>0</v>
      </c>
      <c r="K2" t="s">
        <v>109</v>
      </c>
      <c r="L2">
        <v>959.76</v>
      </c>
      <c r="M2">
        <v>2.1963824289405598</v>
      </c>
      <c r="N2">
        <v>0</v>
      </c>
      <c r="O2">
        <v>2.1963824289405598</v>
      </c>
    </row>
    <row r="3" spans="1:15" x14ac:dyDescent="0.35">
      <c r="A3" t="s">
        <v>108</v>
      </c>
      <c r="B3" t="s">
        <v>52</v>
      </c>
      <c r="C3" t="s">
        <v>61</v>
      </c>
      <c r="D3">
        <v>100400</v>
      </c>
      <c r="F3">
        <v>2108</v>
      </c>
      <c r="G3">
        <v>2108</v>
      </c>
      <c r="H3">
        <v>0.5</v>
      </c>
      <c r="I3">
        <v>4216</v>
      </c>
      <c r="J3">
        <v>4216</v>
      </c>
      <c r="K3" t="s">
        <v>109</v>
      </c>
      <c r="L3">
        <v>831.34</v>
      </c>
      <c r="M3">
        <v>2.5356653114249199</v>
      </c>
      <c r="N3">
        <v>507.13306228498499</v>
      </c>
      <c r="O3">
        <v>2.0356653114249199</v>
      </c>
    </row>
    <row r="4" spans="1:15" x14ac:dyDescent="0.35">
      <c r="A4" t="s">
        <v>108</v>
      </c>
      <c r="B4" t="s">
        <v>52</v>
      </c>
      <c r="C4" t="s">
        <v>7</v>
      </c>
      <c r="D4">
        <v>100020</v>
      </c>
      <c r="E4" t="s">
        <v>110</v>
      </c>
      <c r="F4">
        <v>0</v>
      </c>
      <c r="G4">
        <v>0</v>
      </c>
      <c r="H4">
        <v>0</v>
      </c>
      <c r="I4">
        <v>0</v>
      </c>
      <c r="J4">
        <v>0</v>
      </c>
      <c r="K4" t="s">
        <v>109</v>
      </c>
      <c r="L4">
        <v>0</v>
      </c>
      <c r="M4">
        <v>0</v>
      </c>
      <c r="N4">
        <v>0</v>
      </c>
      <c r="O4">
        <v>0</v>
      </c>
    </row>
    <row r="5" spans="1:15" x14ac:dyDescent="0.35">
      <c r="A5" t="s">
        <v>108</v>
      </c>
      <c r="B5" t="s">
        <v>52</v>
      </c>
      <c r="C5" t="s">
        <v>7</v>
      </c>
      <c r="D5">
        <v>100020</v>
      </c>
      <c r="E5" t="s">
        <v>111</v>
      </c>
      <c r="F5">
        <v>599</v>
      </c>
      <c r="G5">
        <v>599</v>
      </c>
      <c r="H5">
        <v>0.31777777777777699</v>
      </c>
      <c r="I5">
        <v>1884.9650349650301</v>
      </c>
      <c r="J5">
        <v>1884.9650349650301</v>
      </c>
      <c r="K5" t="s">
        <v>109</v>
      </c>
      <c r="L5">
        <v>0</v>
      </c>
      <c r="M5">
        <v>0</v>
      </c>
      <c r="N5">
        <v>0</v>
      </c>
      <c r="O5">
        <v>-0.31777777777777699</v>
      </c>
    </row>
    <row r="6" spans="1:15" x14ac:dyDescent="0.35">
      <c r="A6" t="s">
        <v>108</v>
      </c>
      <c r="B6" t="s">
        <v>52</v>
      </c>
      <c r="C6" t="s">
        <v>7</v>
      </c>
      <c r="D6">
        <v>100020</v>
      </c>
      <c r="E6" t="s">
        <v>112</v>
      </c>
      <c r="F6">
        <v>0</v>
      </c>
      <c r="G6">
        <v>0</v>
      </c>
      <c r="H6">
        <v>0</v>
      </c>
      <c r="I6">
        <v>0</v>
      </c>
      <c r="J6">
        <v>0</v>
      </c>
      <c r="K6" t="s">
        <v>109</v>
      </c>
      <c r="L6">
        <v>0</v>
      </c>
      <c r="M6">
        <v>0</v>
      </c>
      <c r="N6">
        <v>0</v>
      </c>
      <c r="O6">
        <v>0</v>
      </c>
    </row>
    <row r="7" spans="1:15" x14ac:dyDescent="0.35">
      <c r="A7" t="s">
        <v>108</v>
      </c>
      <c r="B7" t="s">
        <v>52</v>
      </c>
      <c r="C7" t="s">
        <v>7</v>
      </c>
      <c r="D7">
        <v>100020</v>
      </c>
      <c r="E7" t="s">
        <v>113</v>
      </c>
      <c r="F7">
        <v>0</v>
      </c>
      <c r="G7">
        <v>0</v>
      </c>
      <c r="H7">
        <v>0</v>
      </c>
      <c r="I7">
        <v>0</v>
      </c>
      <c r="J7">
        <v>0</v>
      </c>
      <c r="K7" t="s">
        <v>109</v>
      </c>
      <c r="L7">
        <v>0</v>
      </c>
      <c r="M7">
        <v>0</v>
      </c>
      <c r="N7">
        <v>0</v>
      </c>
      <c r="O7">
        <v>0</v>
      </c>
    </row>
    <row r="8" spans="1:15" x14ac:dyDescent="0.35">
      <c r="A8" t="s">
        <v>108</v>
      </c>
      <c r="B8" t="s">
        <v>52</v>
      </c>
      <c r="C8" t="s">
        <v>7</v>
      </c>
      <c r="D8">
        <v>100020</v>
      </c>
      <c r="E8" t="s">
        <v>114</v>
      </c>
      <c r="F8">
        <v>387</v>
      </c>
      <c r="G8">
        <v>387</v>
      </c>
      <c r="H8">
        <v>1.4861111111111101</v>
      </c>
      <c r="I8">
        <v>260.41121495327099</v>
      </c>
      <c r="J8">
        <v>260.41121495327099</v>
      </c>
      <c r="K8" t="s">
        <v>109</v>
      </c>
      <c r="L8">
        <v>0</v>
      </c>
      <c r="M8">
        <v>0</v>
      </c>
      <c r="N8">
        <v>0</v>
      </c>
      <c r="O8">
        <v>-1.4861111111111101</v>
      </c>
    </row>
    <row r="9" spans="1:15" x14ac:dyDescent="0.35">
      <c r="A9" t="s">
        <v>108</v>
      </c>
      <c r="B9" t="s">
        <v>52</v>
      </c>
      <c r="C9" t="s">
        <v>7</v>
      </c>
      <c r="D9">
        <v>100020</v>
      </c>
      <c r="E9" t="s">
        <v>115</v>
      </c>
      <c r="F9">
        <v>170</v>
      </c>
      <c r="G9">
        <v>170</v>
      </c>
      <c r="H9">
        <v>0.49833333333333302</v>
      </c>
      <c r="I9">
        <v>341.137123745819</v>
      </c>
      <c r="J9">
        <v>341.137123745819</v>
      </c>
      <c r="K9" t="s">
        <v>109</v>
      </c>
      <c r="L9">
        <v>0</v>
      </c>
      <c r="M9">
        <v>0</v>
      </c>
      <c r="N9">
        <v>0</v>
      </c>
      <c r="O9">
        <v>-0.49833333333333302</v>
      </c>
    </row>
    <row r="10" spans="1:15" x14ac:dyDescent="0.35">
      <c r="A10" t="s">
        <v>108</v>
      </c>
      <c r="B10" t="s">
        <v>52</v>
      </c>
      <c r="C10" t="s">
        <v>7</v>
      </c>
      <c r="D10">
        <v>100020</v>
      </c>
      <c r="E10" t="s">
        <v>116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109</v>
      </c>
      <c r="L10">
        <v>0</v>
      </c>
      <c r="M10">
        <v>0</v>
      </c>
      <c r="N10">
        <v>0</v>
      </c>
      <c r="O10">
        <v>0</v>
      </c>
    </row>
    <row r="11" spans="1:15" x14ac:dyDescent="0.35">
      <c r="A11" t="s">
        <v>108</v>
      </c>
      <c r="B11" t="s">
        <v>52</v>
      </c>
      <c r="C11" t="s">
        <v>7</v>
      </c>
      <c r="D11">
        <v>100020</v>
      </c>
      <c r="E11" t="s">
        <v>117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109</v>
      </c>
      <c r="L11">
        <v>0</v>
      </c>
      <c r="M11">
        <v>0</v>
      </c>
      <c r="N11">
        <v>0</v>
      </c>
      <c r="O11">
        <v>0</v>
      </c>
    </row>
    <row r="12" spans="1:15" x14ac:dyDescent="0.35">
      <c r="A12" t="s">
        <v>108</v>
      </c>
      <c r="B12" t="s">
        <v>52</v>
      </c>
      <c r="C12" t="s">
        <v>7</v>
      </c>
      <c r="D12">
        <v>100020</v>
      </c>
      <c r="E12" t="s">
        <v>118</v>
      </c>
      <c r="F12">
        <v>952</v>
      </c>
      <c r="G12">
        <v>952</v>
      </c>
      <c r="H12">
        <v>0.37027777777777698</v>
      </c>
      <c r="I12">
        <v>2571.0427606901699</v>
      </c>
      <c r="J12">
        <v>2571.0427606901699</v>
      </c>
      <c r="K12" t="s">
        <v>109</v>
      </c>
      <c r="L12">
        <v>0</v>
      </c>
      <c r="M12">
        <v>0</v>
      </c>
      <c r="N12">
        <v>0</v>
      </c>
      <c r="O12">
        <v>-0.37027777777777698</v>
      </c>
    </row>
    <row r="13" spans="1:15" x14ac:dyDescent="0.35">
      <c r="A13" t="s">
        <v>108</v>
      </c>
      <c r="B13" t="s">
        <v>52</v>
      </c>
      <c r="C13" t="s">
        <v>7</v>
      </c>
      <c r="D13">
        <v>100020</v>
      </c>
      <c r="E13" t="s">
        <v>119</v>
      </c>
      <c r="F13">
        <v>0</v>
      </c>
      <c r="G13">
        <v>0</v>
      </c>
      <c r="H13">
        <v>0</v>
      </c>
      <c r="I13">
        <v>0</v>
      </c>
      <c r="J13">
        <v>0</v>
      </c>
      <c r="K13" t="s">
        <v>109</v>
      </c>
      <c r="L13">
        <v>0</v>
      </c>
      <c r="M13">
        <v>0</v>
      </c>
      <c r="N13">
        <v>0</v>
      </c>
      <c r="O13">
        <v>0</v>
      </c>
    </row>
    <row r="14" spans="1:15" x14ac:dyDescent="0.35">
      <c r="A14" t="s">
        <v>108</v>
      </c>
      <c r="B14" t="s">
        <v>52</v>
      </c>
      <c r="C14" t="s">
        <v>7</v>
      </c>
      <c r="D14">
        <v>100020</v>
      </c>
      <c r="E14" t="s">
        <v>120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109</v>
      </c>
      <c r="L14">
        <v>0</v>
      </c>
      <c r="M14">
        <v>0</v>
      </c>
      <c r="N14">
        <v>0</v>
      </c>
      <c r="O14">
        <v>0</v>
      </c>
    </row>
    <row r="15" spans="1:15" x14ac:dyDescent="0.35">
      <c r="A15" t="s">
        <v>108</v>
      </c>
      <c r="B15" t="s">
        <v>52</v>
      </c>
      <c r="C15" t="s">
        <v>7</v>
      </c>
      <c r="D15">
        <v>100020</v>
      </c>
      <c r="E15" t="s">
        <v>121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109</v>
      </c>
      <c r="L15">
        <v>0</v>
      </c>
      <c r="M15">
        <v>0</v>
      </c>
      <c r="N15">
        <v>0</v>
      </c>
      <c r="O15">
        <v>0</v>
      </c>
    </row>
    <row r="16" spans="1:15" x14ac:dyDescent="0.35">
      <c r="A16" t="s">
        <v>108</v>
      </c>
      <c r="B16" t="s">
        <v>52</v>
      </c>
      <c r="C16" t="s">
        <v>7</v>
      </c>
      <c r="D16">
        <v>100020</v>
      </c>
      <c r="E16" t="s">
        <v>122</v>
      </c>
      <c r="F16">
        <v>0</v>
      </c>
      <c r="G16">
        <v>0</v>
      </c>
      <c r="H16">
        <v>0.26944444444444399</v>
      </c>
      <c r="I16">
        <v>0</v>
      </c>
      <c r="J16">
        <v>0</v>
      </c>
      <c r="K16" t="s">
        <v>109</v>
      </c>
      <c r="L16">
        <v>0</v>
      </c>
      <c r="M16">
        <v>0</v>
      </c>
      <c r="N16">
        <v>0</v>
      </c>
      <c r="O16">
        <v>-0.26944444444444399</v>
      </c>
    </row>
    <row r="17" spans="1:15" x14ac:dyDescent="0.35">
      <c r="A17" t="s">
        <v>108</v>
      </c>
      <c r="B17" t="s">
        <v>52</v>
      </c>
      <c r="C17" t="s">
        <v>7</v>
      </c>
      <c r="D17">
        <v>100020</v>
      </c>
      <c r="E17" t="s">
        <v>123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109</v>
      </c>
      <c r="L17">
        <v>0</v>
      </c>
      <c r="M17">
        <v>0</v>
      </c>
      <c r="N17">
        <v>0</v>
      </c>
      <c r="O17">
        <v>0</v>
      </c>
    </row>
    <row r="18" spans="1:15" x14ac:dyDescent="0.35">
      <c r="A18" t="s">
        <v>108</v>
      </c>
      <c r="B18" t="s">
        <v>52</v>
      </c>
      <c r="C18" t="s">
        <v>7</v>
      </c>
      <c r="D18">
        <v>100020</v>
      </c>
      <c r="E18" t="s">
        <v>124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109</v>
      </c>
      <c r="L18">
        <v>0</v>
      </c>
      <c r="M18">
        <v>0</v>
      </c>
      <c r="N18">
        <v>0</v>
      </c>
      <c r="O18">
        <v>0</v>
      </c>
    </row>
    <row r="19" spans="1:15" x14ac:dyDescent="0.35">
      <c r="A19" t="s">
        <v>108</v>
      </c>
      <c r="B19" t="s">
        <v>52</v>
      </c>
      <c r="C19" t="s">
        <v>7</v>
      </c>
      <c r="D19">
        <v>100020</v>
      </c>
      <c r="E19" t="s">
        <v>125</v>
      </c>
      <c r="F19">
        <v>0</v>
      </c>
      <c r="G19">
        <v>0</v>
      </c>
      <c r="H19">
        <v>1.5277777777777699E-2</v>
      </c>
      <c r="I19">
        <v>0</v>
      </c>
      <c r="J19">
        <v>0</v>
      </c>
      <c r="K19" t="s">
        <v>109</v>
      </c>
      <c r="L19">
        <v>0</v>
      </c>
      <c r="M19">
        <v>0</v>
      </c>
      <c r="N19">
        <v>0</v>
      </c>
      <c r="O19">
        <v>-1.5277777777777699E-2</v>
      </c>
    </row>
    <row r="20" spans="1:15" x14ac:dyDescent="0.35">
      <c r="A20" t="s">
        <v>108</v>
      </c>
      <c r="B20" t="s">
        <v>52</v>
      </c>
      <c r="C20" t="s">
        <v>7</v>
      </c>
      <c r="D20">
        <v>100020</v>
      </c>
      <c r="E20" t="s">
        <v>126</v>
      </c>
      <c r="F20">
        <v>0</v>
      </c>
      <c r="G20">
        <v>0</v>
      </c>
      <c r="H20">
        <v>3.6111111111111101E-3</v>
      </c>
      <c r="I20">
        <v>0</v>
      </c>
      <c r="J20">
        <v>0</v>
      </c>
      <c r="K20" t="s">
        <v>109</v>
      </c>
      <c r="L20">
        <v>0</v>
      </c>
      <c r="M20">
        <v>0</v>
      </c>
      <c r="N20">
        <v>0</v>
      </c>
      <c r="O20">
        <v>-3.6111111111111101E-3</v>
      </c>
    </row>
    <row r="21" spans="1:15" x14ac:dyDescent="0.35">
      <c r="A21" t="s">
        <v>108</v>
      </c>
      <c r="B21" t="s">
        <v>52</v>
      </c>
      <c r="C21" t="s">
        <v>7</v>
      </c>
      <c r="D21">
        <v>100020</v>
      </c>
      <c r="E21" t="s">
        <v>127</v>
      </c>
      <c r="F21">
        <v>0</v>
      </c>
      <c r="G21">
        <v>0</v>
      </c>
      <c r="H21">
        <v>0</v>
      </c>
      <c r="I21">
        <v>0</v>
      </c>
      <c r="J21">
        <v>0</v>
      </c>
      <c r="K21" t="s">
        <v>109</v>
      </c>
      <c r="L21">
        <v>0</v>
      </c>
      <c r="M21">
        <v>0</v>
      </c>
      <c r="N21">
        <v>0</v>
      </c>
      <c r="O21">
        <v>0</v>
      </c>
    </row>
    <row r="22" spans="1:15" x14ac:dyDescent="0.35">
      <c r="A22" t="s">
        <v>108</v>
      </c>
      <c r="B22" t="s">
        <v>52</v>
      </c>
      <c r="C22" t="s">
        <v>7</v>
      </c>
      <c r="D22">
        <v>100020</v>
      </c>
      <c r="E22" t="s">
        <v>128</v>
      </c>
      <c r="F22">
        <v>0</v>
      </c>
      <c r="G22">
        <v>0</v>
      </c>
      <c r="H22">
        <v>0</v>
      </c>
      <c r="I22">
        <v>0</v>
      </c>
      <c r="J22">
        <v>0</v>
      </c>
      <c r="K22" t="s">
        <v>109</v>
      </c>
      <c r="L22">
        <v>0</v>
      </c>
      <c r="M22">
        <v>0</v>
      </c>
      <c r="N22">
        <v>0</v>
      </c>
      <c r="O22">
        <v>0</v>
      </c>
    </row>
    <row r="23" spans="1:15" x14ac:dyDescent="0.35">
      <c r="A23" t="s">
        <v>108</v>
      </c>
      <c r="B23" t="s">
        <v>52</v>
      </c>
      <c r="C23" t="s">
        <v>7</v>
      </c>
      <c r="D23">
        <v>100020</v>
      </c>
      <c r="E23" t="s">
        <v>129</v>
      </c>
      <c r="F23">
        <v>0</v>
      </c>
      <c r="G23">
        <v>0</v>
      </c>
      <c r="H23">
        <v>0.62944444444444403</v>
      </c>
      <c r="I23">
        <v>0</v>
      </c>
      <c r="J23">
        <v>0</v>
      </c>
      <c r="K23" t="s">
        <v>109</v>
      </c>
      <c r="L23">
        <v>0</v>
      </c>
      <c r="M23">
        <v>0</v>
      </c>
      <c r="N23">
        <v>0</v>
      </c>
      <c r="O23">
        <v>-0.62944444444444403</v>
      </c>
    </row>
    <row r="24" spans="1:15" x14ac:dyDescent="0.35">
      <c r="A24" t="s">
        <v>108</v>
      </c>
      <c r="B24" t="s">
        <v>52</v>
      </c>
      <c r="C24" t="s">
        <v>7</v>
      </c>
      <c r="D24">
        <v>100020</v>
      </c>
      <c r="E24" t="s">
        <v>130</v>
      </c>
      <c r="F24">
        <v>0</v>
      </c>
      <c r="G24">
        <v>0</v>
      </c>
      <c r="H24">
        <v>0</v>
      </c>
      <c r="I24">
        <v>0</v>
      </c>
      <c r="J24">
        <v>0</v>
      </c>
      <c r="K24" t="s">
        <v>109</v>
      </c>
      <c r="L24">
        <v>0</v>
      </c>
      <c r="M24">
        <v>0</v>
      </c>
      <c r="N24">
        <v>0</v>
      </c>
      <c r="O24">
        <v>0</v>
      </c>
    </row>
    <row r="25" spans="1:15" x14ac:dyDescent="0.35">
      <c r="A25" t="s">
        <v>108</v>
      </c>
      <c r="B25" t="s">
        <v>52</v>
      </c>
      <c r="C25" t="s">
        <v>7</v>
      </c>
      <c r="D25">
        <v>100020</v>
      </c>
      <c r="E25" t="s">
        <v>131</v>
      </c>
      <c r="F25">
        <v>0</v>
      </c>
      <c r="G25">
        <v>0</v>
      </c>
      <c r="H25">
        <v>0</v>
      </c>
      <c r="I25">
        <v>0</v>
      </c>
      <c r="J25">
        <v>0</v>
      </c>
      <c r="K25" t="s">
        <v>109</v>
      </c>
      <c r="L25">
        <v>0</v>
      </c>
      <c r="M25">
        <v>0</v>
      </c>
      <c r="N25">
        <v>0</v>
      </c>
      <c r="O25">
        <v>0</v>
      </c>
    </row>
    <row r="26" spans="1:15" x14ac:dyDescent="0.35">
      <c r="A26" t="s">
        <v>108</v>
      </c>
      <c r="B26" t="s">
        <v>52</v>
      </c>
      <c r="C26" t="s">
        <v>20</v>
      </c>
      <c r="D26">
        <v>100404</v>
      </c>
      <c r="F26">
        <v>2108</v>
      </c>
      <c r="G26">
        <v>2108</v>
      </c>
      <c r="H26">
        <v>0.25</v>
      </c>
      <c r="I26">
        <v>8432</v>
      </c>
      <c r="J26">
        <v>8432</v>
      </c>
      <c r="K26" t="s">
        <v>109</v>
      </c>
      <c r="L26">
        <v>959.76</v>
      </c>
      <c r="M26">
        <v>2.1963824289405598</v>
      </c>
      <c r="N26">
        <v>878.55297157622704</v>
      </c>
      <c r="O26">
        <v>1.94638242894056</v>
      </c>
    </row>
    <row r="27" spans="1:15" x14ac:dyDescent="0.35">
      <c r="A27" t="s">
        <v>108</v>
      </c>
      <c r="B27" t="s">
        <v>52</v>
      </c>
      <c r="C27" t="s">
        <v>9</v>
      </c>
      <c r="D27">
        <v>100460</v>
      </c>
      <c r="F27">
        <v>2108</v>
      </c>
      <c r="G27">
        <v>2108</v>
      </c>
      <c r="H27">
        <v>1.5333333333333301</v>
      </c>
      <c r="I27">
        <v>1374.78260869565</v>
      </c>
      <c r="J27">
        <v>1374.78260869565</v>
      </c>
      <c r="K27" t="s">
        <v>109</v>
      </c>
      <c r="L27">
        <v>0</v>
      </c>
      <c r="M27">
        <v>0</v>
      </c>
      <c r="N27">
        <v>0</v>
      </c>
      <c r="O27">
        <v>-1.5333333333333301</v>
      </c>
    </row>
    <row r="28" spans="1:15" x14ac:dyDescent="0.35">
      <c r="A28" t="s">
        <v>108</v>
      </c>
      <c r="B28" t="s">
        <v>53</v>
      </c>
      <c r="C28" t="s">
        <v>1</v>
      </c>
      <c r="D28">
        <v>100440</v>
      </c>
      <c r="F28">
        <v>2066</v>
      </c>
      <c r="G28">
        <v>2066</v>
      </c>
      <c r="H28">
        <v>3.15</v>
      </c>
      <c r="I28">
        <v>655.87301587301499</v>
      </c>
      <c r="J28">
        <v>655.87301587301499</v>
      </c>
      <c r="K28" t="s">
        <v>109</v>
      </c>
      <c r="L28">
        <v>225.60999999999899</v>
      </c>
      <c r="M28">
        <v>9.1573955055183696</v>
      </c>
      <c r="N28">
        <v>290.71096842915398</v>
      </c>
      <c r="O28">
        <v>6.0073955055183701</v>
      </c>
    </row>
    <row r="29" spans="1:15" x14ac:dyDescent="0.35">
      <c r="A29" t="s">
        <v>108</v>
      </c>
      <c r="B29" t="s">
        <v>53</v>
      </c>
      <c r="C29" t="s">
        <v>27</v>
      </c>
      <c r="D29">
        <v>100021</v>
      </c>
      <c r="E29" t="s">
        <v>110</v>
      </c>
      <c r="F29">
        <v>0</v>
      </c>
      <c r="G29">
        <v>0</v>
      </c>
      <c r="H29">
        <v>0</v>
      </c>
      <c r="I29">
        <v>0</v>
      </c>
      <c r="J29">
        <v>0</v>
      </c>
      <c r="K29" t="s">
        <v>109</v>
      </c>
      <c r="L29">
        <v>0</v>
      </c>
      <c r="M29">
        <v>0</v>
      </c>
      <c r="N29">
        <v>0</v>
      </c>
      <c r="O29">
        <v>0</v>
      </c>
    </row>
    <row r="30" spans="1:15" x14ac:dyDescent="0.35">
      <c r="A30" t="s">
        <v>108</v>
      </c>
      <c r="B30" t="s">
        <v>53</v>
      </c>
      <c r="C30" t="s">
        <v>27</v>
      </c>
      <c r="D30">
        <v>100021</v>
      </c>
      <c r="E30" t="s">
        <v>111</v>
      </c>
      <c r="F30">
        <v>583</v>
      </c>
      <c r="G30">
        <v>583</v>
      </c>
      <c r="H30">
        <v>5.8374999999999897</v>
      </c>
      <c r="I30">
        <v>99.871520342612399</v>
      </c>
      <c r="J30">
        <v>99.871520342612399</v>
      </c>
      <c r="K30" t="s">
        <v>109</v>
      </c>
      <c r="L30">
        <v>325.05</v>
      </c>
      <c r="M30">
        <v>1.7935702199661501</v>
      </c>
      <c r="N30">
        <v>30.724971648242501</v>
      </c>
      <c r="O30">
        <v>-4.0439297800338396</v>
      </c>
    </row>
    <row r="31" spans="1:15" x14ac:dyDescent="0.35">
      <c r="A31" t="s">
        <v>108</v>
      </c>
      <c r="B31" t="s">
        <v>53</v>
      </c>
      <c r="C31" t="s">
        <v>27</v>
      </c>
      <c r="D31">
        <v>100021</v>
      </c>
      <c r="E31" t="s">
        <v>112</v>
      </c>
      <c r="F31">
        <v>0</v>
      </c>
      <c r="G31">
        <v>0</v>
      </c>
      <c r="H31">
        <v>0</v>
      </c>
      <c r="I31">
        <v>0</v>
      </c>
      <c r="J31">
        <v>0</v>
      </c>
      <c r="K31" t="s">
        <v>109</v>
      </c>
      <c r="L31">
        <v>0</v>
      </c>
      <c r="M31">
        <v>0</v>
      </c>
      <c r="N31">
        <v>0</v>
      </c>
      <c r="O31">
        <v>0</v>
      </c>
    </row>
    <row r="32" spans="1:15" x14ac:dyDescent="0.35">
      <c r="A32" t="s">
        <v>108</v>
      </c>
      <c r="B32" t="s">
        <v>53</v>
      </c>
      <c r="C32" t="s">
        <v>27</v>
      </c>
      <c r="D32">
        <v>100021</v>
      </c>
      <c r="E32" t="s">
        <v>113</v>
      </c>
      <c r="F32">
        <v>0</v>
      </c>
      <c r="G32">
        <v>0</v>
      </c>
      <c r="H32">
        <v>0</v>
      </c>
      <c r="I32">
        <v>0</v>
      </c>
      <c r="J32">
        <v>0</v>
      </c>
      <c r="K32" t="s">
        <v>109</v>
      </c>
      <c r="L32">
        <v>0</v>
      </c>
      <c r="M32">
        <v>0</v>
      </c>
      <c r="N32">
        <v>0</v>
      </c>
      <c r="O32">
        <v>0</v>
      </c>
    </row>
    <row r="33" spans="1:15" x14ac:dyDescent="0.35">
      <c r="A33" t="s">
        <v>108</v>
      </c>
      <c r="B33" t="s">
        <v>53</v>
      </c>
      <c r="C33" t="s">
        <v>27</v>
      </c>
      <c r="D33">
        <v>100021</v>
      </c>
      <c r="E33" t="s">
        <v>114</v>
      </c>
      <c r="F33">
        <v>380</v>
      </c>
      <c r="G33">
        <v>380</v>
      </c>
      <c r="H33">
        <v>2.1536111111111098</v>
      </c>
      <c r="I33">
        <v>176.447826647749</v>
      </c>
      <c r="J33">
        <v>176.447826647749</v>
      </c>
      <c r="K33" t="s">
        <v>109</v>
      </c>
      <c r="L33">
        <v>254.21</v>
      </c>
      <c r="M33">
        <v>1.4948271114432901</v>
      </c>
      <c r="N33">
        <v>69.410261849553194</v>
      </c>
      <c r="O33">
        <v>-0.65878399966781498</v>
      </c>
    </row>
    <row r="34" spans="1:15" x14ac:dyDescent="0.35">
      <c r="A34" t="s">
        <v>108</v>
      </c>
      <c r="B34" t="s">
        <v>53</v>
      </c>
      <c r="C34" t="s">
        <v>27</v>
      </c>
      <c r="D34">
        <v>100021</v>
      </c>
      <c r="E34" t="s">
        <v>115</v>
      </c>
      <c r="F34">
        <v>163</v>
      </c>
      <c r="G34">
        <v>163</v>
      </c>
      <c r="H34">
        <v>1.24555555555555</v>
      </c>
      <c r="I34">
        <v>130.865298840321</v>
      </c>
      <c r="J34">
        <v>130.865298840321</v>
      </c>
      <c r="K34" t="s">
        <v>109</v>
      </c>
      <c r="L34">
        <v>183.629999999999</v>
      </c>
      <c r="M34">
        <v>0.88765452268147904</v>
      </c>
      <c r="N34">
        <v>71.265751151947399</v>
      </c>
      <c r="O34">
        <v>-0.35790103287407599</v>
      </c>
    </row>
    <row r="35" spans="1:15" x14ac:dyDescent="0.35">
      <c r="A35" t="s">
        <v>108</v>
      </c>
      <c r="B35" t="s">
        <v>53</v>
      </c>
      <c r="C35" t="s">
        <v>27</v>
      </c>
      <c r="D35">
        <v>100021</v>
      </c>
      <c r="E35" t="s">
        <v>116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109</v>
      </c>
      <c r="L35">
        <v>0</v>
      </c>
      <c r="M35">
        <v>0</v>
      </c>
      <c r="N35">
        <v>0</v>
      </c>
      <c r="O35">
        <v>0</v>
      </c>
    </row>
    <row r="36" spans="1:15" x14ac:dyDescent="0.35">
      <c r="A36" t="s">
        <v>108</v>
      </c>
      <c r="B36" t="s">
        <v>53</v>
      </c>
      <c r="C36" t="s">
        <v>27</v>
      </c>
      <c r="D36">
        <v>100021</v>
      </c>
      <c r="E36" t="s">
        <v>117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109</v>
      </c>
      <c r="L36">
        <v>0</v>
      </c>
      <c r="M36">
        <v>0</v>
      </c>
      <c r="N36">
        <v>0</v>
      </c>
      <c r="O36">
        <v>0</v>
      </c>
    </row>
    <row r="37" spans="1:15" x14ac:dyDescent="0.35">
      <c r="A37" t="s">
        <v>108</v>
      </c>
      <c r="B37" t="s">
        <v>53</v>
      </c>
      <c r="C37" t="s">
        <v>27</v>
      </c>
      <c r="D37">
        <v>100021</v>
      </c>
      <c r="E37" t="s">
        <v>118</v>
      </c>
      <c r="F37">
        <v>940</v>
      </c>
      <c r="G37">
        <v>940</v>
      </c>
      <c r="H37">
        <v>4.4513888888888804</v>
      </c>
      <c r="I37">
        <v>211.17004680187199</v>
      </c>
      <c r="J37">
        <v>211.17004680187199</v>
      </c>
      <c r="K37" t="s">
        <v>109</v>
      </c>
      <c r="L37">
        <v>471.68</v>
      </c>
      <c r="M37">
        <v>1.9928765264586099</v>
      </c>
      <c r="N37">
        <v>44.769769081129503</v>
      </c>
      <c r="O37">
        <v>-2.45851236243027</v>
      </c>
    </row>
    <row r="38" spans="1:15" x14ac:dyDescent="0.35">
      <c r="A38" t="s">
        <v>108</v>
      </c>
      <c r="B38" t="s">
        <v>53</v>
      </c>
      <c r="C38" t="s">
        <v>27</v>
      </c>
      <c r="D38">
        <v>100021</v>
      </c>
      <c r="E38" t="s">
        <v>119</v>
      </c>
      <c r="F38">
        <v>0</v>
      </c>
      <c r="G38">
        <v>0</v>
      </c>
      <c r="H38">
        <v>0</v>
      </c>
      <c r="I38">
        <v>0</v>
      </c>
      <c r="J38">
        <v>0</v>
      </c>
      <c r="K38" t="s">
        <v>109</v>
      </c>
      <c r="L38">
        <v>0</v>
      </c>
      <c r="M38">
        <v>0</v>
      </c>
      <c r="N38">
        <v>0</v>
      </c>
      <c r="O38">
        <v>0</v>
      </c>
    </row>
    <row r="39" spans="1:15" x14ac:dyDescent="0.35">
      <c r="A39" t="s">
        <v>108</v>
      </c>
      <c r="B39" t="s">
        <v>53</v>
      </c>
      <c r="C39" t="s">
        <v>27</v>
      </c>
      <c r="D39">
        <v>100021</v>
      </c>
      <c r="E39" t="s">
        <v>121</v>
      </c>
      <c r="F39">
        <v>0</v>
      </c>
      <c r="G39">
        <v>0</v>
      </c>
      <c r="H39">
        <v>0</v>
      </c>
      <c r="I39">
        <v>0</v>
      </c>
      <c r="J39">
        <v>0</v>
      </c>
      <c r="K39" t="s">
        <v>109</v>
      </c>
      <c r="L39">
        <v>0</v>
      </c>
      <c r="M39">
        <v>0</v>
      </c>
      <c r="N39">
        <v>0</v>
      </c>
      <c r="O39">
        <v>0</v>
      </c>
    </row>
    <row r="40" spans="1:15" x14ac:dyDescent="0.35">
      <c r="A40" t="s">
        <v>108</v>
      </c>
      <c r="B40" t="s">
        <v>53</v>
      </c>
      <c r="C40" t="s">
        <v>27</v>
      </c>
      <c r="D40">
        <v>100021</v>
      </c>
      <c r="E40" t="s">
        <v>122</v>
      </c>
      <c r="F40">
        <v>0</v>
      </c>
      <c r="G40">
        <v>0</v>
      </c>
      <c r="H40">
        <v>0</v>
      </c>
      <c r="I40">
        <v>0</v>
      </c>
      <c r="J40">
        <v>0</v>
      </c>
      <c r="K40" t="s">
        <v>109</v>
      </c>
      <c r="L40">
        <v>0</v>
      </c>
      <c r="M40">
        <v>0</v>
      </c>
      <c r="N40">
        <v>0</v>
      </c>
      <c r="O40">
        <v>0</v>
      </c>
    </row>
    <row r="41" spans="1:15" x14ac:dyDescent="0.35">
      <c r="A41" t="s">
        <v>108</v>
      </c>
      <c r="B41" t="s">
        <v>53</v>
      </c>
      <c r="C41" t="s">
        <v>27</v>
      </c>
      <c r="D41">
        <v>100021</v>
      </c>
      <c r="E41" t="s">
        <v>123</v>
      </c>
      <c r="F41">
        <v>0</v>
      </c>
      <c r="G41">
        <v>0</v>
      </c>
      <c r="H41">
        <v>0</v>
      </c>
      <c r="I41">
        <v>0</v>
      </c>
      <c r="J41">
        <v>0</v>
      </c>
      <c r="K41" t="s">
        <v>109</v>
      </c>
      <c r="L41">
        <v>0</v>
      </c>
      <c r="M41">
        <v>0</v>
      </c>
      <c r="N41">
        <v>0</v>
      </c>
      <c r="O41">
        <v>0</v>
      </c>
    </row>
    <row r="42" spans="1:15" x14ac:dyDescent="0.35">
      <c r="A42" t="s">
        <v>108</v>
      </c>
      <c r="B42" t="s">
        <v>53</v>
      </c>
      <c r="C42" t="s">
        <v>27</v>
      </c>
      <c r="D42">
        <v>100021</v>
      </c>
      <c r="E42" t="s">
        <v>124</v>
      </c>
      <c r="F42">
        <v>0</v>
      </c>
      <c r="G42">
        <v>0</v>
      </c>
      <c r="H42">
        <v>0</v>
      </c>
      <c r="I42">
        <v>0</v>
      </c>
      <c r="J42">
        <v>0</v>
      </c>
      <c r="K42" t="s">
        <v>109</v>
      </c>
      <c r="L42">
        <v>0</v>
      </c>
      <c r="M42">
        <v>0</v>
      </c>
      <c r="N42">
        <v>0</v>
      </c>
      <c r="O42">
        <v>0</v>
      </c>
    </row>
    <row r="43" spans="1:15" x14ac:dyDescent="0.35">
      <c r="A43" t="s">
        <v>108</v>
      </c>
      <c r="B43" t="s">
        <v>53</v>
      </c>
      <c r="C43" t="s">
        <v>27</v>
      </c>
      <c r="D43">
        <v>100021</v>
      </c>
      <c r="E43" t="s">
        <v>125</v>
      </c>
      <c r="F43">
        <v>0</v>
      </c>
      <c r="G43">
        <v>0</v>
      </c>
      <c r="H43">
        <v>0</v>
      </c>
      <c r="I43">
        <v>0</v>
      </c>
      <c r="J43">
        <v>0</v>
      </c>
      <c r="K43" t="s">
        <v>109</v>
      </c>
      <c r="L43">
        <v>0</v>
      </c>
      <c r="M43">
        <v>0</v>
      </c>
      <c r="N43">
        <v>0</v>
      </c>
      <c r="O43">
        <v>0</v>
      </c>
    </row>
    <row r="44" spans="1:15" x14ac:dyDescent="0.35">
      <c r="A44" t="s">
        <v>108</v>
      </c>
      <c r="B44" t="s">
        <v>53</v>
      </c>
      <c r="C44" t="s">
        <v>27</v>
      </c>
      <c r="D44">
        <v>100021</v>
      </c>
      <c r="E44" t="s">
        <v>126</v>
      </c>
      <c r="F44">
        <v>0</v>
      </c>
      <c r="G44">
        <v>0</v>
      </c>
      <c r="H44">
        <v>0</v>
      </c>
      <c r="I44">
        <v>0</v>
      </c>
      <c r="J44">
        <v>0</v>
      </c>
      <c r="K44" t="s">
        <v>109</v>
      </c>
      <c r="L44">
        <v>0</v>
      </c>
      <c r="M44">
        <v>0</v>
      </c>
      <c r="N44">
        <v>0</v>
      </c>
      <c r="O44">
        <v>0</v>
      </c>
    </row>
    <row r="45" spans="1:15" x14ac:dyDescent="0.35">
      <c r="A45" t="s">
        <v>108</v>
      </c>
      <c r="B45" t="s">
        <v>53</v>
      </c>
      <c r="C45" t="s">
        <v>27</v>
      </c>
      <c r="D45">
        <v>100021</v>
      </c>
      <c r="E45" t="s">
        <v>127</v>
      </c>
      <c r="F45">
        <v>0</v>
      </c>
      <c r="G45">
        <v>0</v>
      </c>
      <c r="H45">
        <v>0</v>
      </c>
      <c r="I45">
        <v>0</v>
      </c>
      <c r="J45">
        <v>0</v>
      </c>
      <c r="K45" t="s">
        <v>109</v>
      </c>
      <c r="L45">
        <v>0</v>
      </c>
      <c r="M45">
        <v>0</v>
      </c>
      <c r="N45">
        <v>0</v>
      </c>
      <c r="O45">
        <v>0</v>
      </c>
    </row>
    <row r="46" spans="1:15" x14ac:dyDescent="0.35">
      <c r="A46" t="s">
        <v>108</v>
      </c>
      <c r="B46" t="s">
        <v>53</v>
      </c>
      <c r="C46" t="s">
        <v>27</v>
      </c>
      <c r="D46">
        <v>100021</v>
      </c>
      <c r="E46" t="s">
        <v>128</v>
      </c>
      <c r="F46">
        <v>0</v>
      </c>
      <c r="G46">
        <v>0</v>
      </c>
      <c r="H46">
        <v>0</v>
      </c>
      <c r="I46">
        <v>0</v>
      </c>
      <c r="J46">
        <v>0</v>
      </c>
      <c r="K46" t="s">
        <v>109</v>
      </c>
      <c r="L46">
        <v>0</v>
      </c>
      <c r="M46">
        <v>0</v>
      </c>
      <c r="N46">
        <v>0</v>
      </c>
      <c r="O46">
        <v>0</v>
      </c>
    </row>
    <row r="47" spans="1:15" x14ac:dyDescent="0.35">
      <c r="A47" t="s">
        <v>108</v>
      </c>
      <c r="B47" t="s">
        <v>53</v>
      </c>
      <c r="C47" t="s">
        <v>27</v>
      </c>
      <c r="D47">
        <v>100021</v>
      </c>
      <c r="E47" t="s">
        <v>129</v>
      </c>
      <c r="F47">
        <v>0</v>
      </c>
      <c r="G47">
        <v>0</v>
      </c>
      <c r="H47">
        <v>0</v>
      </c>
      <c r="I47">
        <v>0</v>
      </c>
      <c r="J47">
        <v>0</v>
      </c>
      <c r="K47" t="s">
        <v>109</v>
      </c>
      <c r="L47">
        <v>0</v>
      </c>
      <c r="M47">
        <v>0</v>
      </c>
      <c r="N47">
        <v>0</v>
      </c>
      <c r="O47">
        <v>0</v>
      </c>
    </row>
    <row r="48" spans="1:15" x14ac:dyDescent="0.35">
      <c r="A48" t="s">
        <v>108</v>
      </c>
      <c r="B48" t="s">
        <v>53</v>
      </c>
      <c r="C48" t="s">
        <v>27</v>
      </c>
      <c r="D48">
        <v>100021</v>
      </c>
      <c r="E48" t="s">
        <v>130</v>
      </c>
      <c r="F48">
        <v>0</v>
      </c>
      <c r="G48">
        <v>0</v>
      </c>
      <c r="H48">
        <v>0</v>
      </c>
      <c r="I48">
        <v>0</v>
      </c>
      <c r="J48">
        <v>0</v>
      </c>
      <c r="K48" t="s">
        <v>109</v>
      </c>
      <c r="L48">
        <v>0</v>
      </c>
      <c r="M48">
        <v>0</v>
      </c>
      <c r="N48">
        <v>0</v>
      </c>
      <c r="O48">
        <v>0</v>
      </c>
    </row>
    <row r="49" spans="1:15" x14ac:dyDescent="0.35">
      <c r="A49" t="s">
        <v>108</v>
      </c>
      <c r="B49" t="s">
        <v>53</v>
      </c>
      <c r="C49" t="s">
        <v>25</v>
      </c>
      <c r="D49">
        <v>100461</v>
      </c>
      <c r="F49">
        <v>2066</v>
      </c>
      <c r="G49">
        <v>2066</v>
      </c>
      <c r="H49">
        <v>0</v>
      </c>
      <c r="I49">
        <v>0</v>
      </c>
      <c r="J49">
        <v>0</v>
      </c>
      <c r="K49" t="s">
        <v>109</v>
      </c>
      <c r="L49">
        <v>0</v>
      </c>
      <c r="M49">
        <v>0</v>
      </c>
      <c r="N49">
        <v>0</v>
      </c>
      <c r="O49">
        <v>0</v>
      </c>
    </row>
    <row r="50" spans="1:15" x14ac:dyDescent="0.35">
      <c r="A50" t="s">
        <v>108</v>
      </c>
      <c r="B50" t="s">
        <v>54</v>
      </c>
      <c r="C50" t="s">
        <v>32</v>
      </c>
      <c r="D50">
        <v>100407</v>
      </c>
      <c r="E50" t="s">
        <v>110</v>
      </c>
      <c r="F50">
        <v>0</v>
      </c>
      <c r="G50">
        <v>0</v>
      </c>
      <c r="H50">
        <v>0</v>
      </c>
      <c r="I50">
        <v>0</v>
      </c>
      <c r="J50">
        <v>0</v>
      </c>
      <c r="K50" t="s">
        <v>109</v>
      </c>
      <c r="L50">
        <v>0</v>
      </c>
      <c r="M50">
        <v>0</v>
      </c>
      <c r="N50">
        <v>0</v>
      </c>
      <c r="O50">
        <v>0</v>
      </c>
    </row>
    <row r="51" spans="1:15" x14ac:dyDescent="0.35">
      <c r="A51" t="s">
        <v>108</v>
      </c>
      <c r="B51" t="s">
        <v>54</v>
      </c>
      <c r="C51" t="s">
        <v>32</v>
      </c>
      <c r="D51">
        <v>100407</v>
      </c>
      <c r="E51" t="s">
        <v>121</v>
      </c>
      <c r="F51">
        <v>0</v>
      </c>
      <c r="G51">
        <v>0</v>
      </c>
      <c r="H51">
        <v>0</v>
      </c>
      <c r="I51">
        <v>0</v>
      </c>
      <c r="J51">
        <v>0</v>
      </c>
      <c r="K51" t="s">
        <v>109</v>
      </c>
      <c r="L51">
        <v>0</v>
      </c>
      <c r="M51">
        <v>0</v>
      </c>
      <c r="N51">
        <v>0</v>
      </c>
      <c r="O51">
        <v>0</v>
      </c>
    </row>
    <row r="52" spans="1:15" x14ac:dyDescent="0.35">
      <c r="A52" t="s">
        <v>108</v>
      </c>
      <c r="B52" t="s">
        <v>54</v>
      </c>
      <c r="C52" t="s">
        <v>32</v>
      </c>
      <c r="D52">
        <v>100407</v>
      </c>
      <c r="E52" t="s">
        <v>132</v>
      </c>
      <c r="F52">
        <v>0</v>
      </c>
      <c r="G52">
        <v>0</v>
      </c>
      <c r="H52">
        <v>0</v>
      </c>
      <c r="I52">
        <v>0</v>
      </c>
      <c r="J52">
        <v>0</v>
      </c>
      <c r="K52" t="s">
        <v>109</v>
      </c>
      <c r="L52">
        <v>0</v>
      </c>
      <c r="M52">
        <v>0</v>
      </c>
      <c r="N52">
        <v>0</v>
      </c>
      <c r="O52">
        <v>0</v>
      </c>
    </row>
    <row r="53" spans="1:15" x14ac:dyDescent="0.35">
      <c r="A53" t="s">
        <v>108</v>
      </c>
      <c r="B53" t="s">
        <v>54</v>
      </c>
      <c r="C53" t="s">
        <v>32</v>
      </c>
      <c r="D53">
        <v>100407</v>
      </c>
      <c r="E53" t="s">
        <v>133</v>
      </c>
      <c r="F53">
        <v>0</v>
      </c>
      <c r="G53">
        <v>0</v>
      </c>
      <c r="H53">
        <v>0</v>
      </c>
      <c r="I53">
        <v>0</v>
      </c>
      <c r="J53">
        <v>0</v>
      </c>
      <c r="K53" t="s">
        <v>109</v>
      </c>
      <c r="L53">
        <v>0</v>
      </c>
      <c r="M53">
        <v>0</v>
      </c>
      <c r="N53">
        <v>0</v>
      </c>
      <c r="O53">
        <v>0</v>
      </c>
    </row>
    <row r="54" spans="1:15" x14ac:dyDescent="0.35">
      <c r="A54" t="s">
        <v>108</v>
      </c>
      <c r="B54" t="s">
        <v>54</v>
      </c>
      <c r="C54" t="s">
        <v>32</v>
      </c>
      <c r="D54">
        <v>100407</v>
      </c>
      <c r="E54" t="s">
        <v>134</v>
      </c>
      <c r="F54">
        <v>0</v>
      </c>
      <c r="G54">
        <v>0</v>
      </c>
      <c r="H54">
        <v>0</v>
      </c>
      <c r="I54">
        <v>0</v>
      </c>
      <c r="J54">
        <v>0</v>
      </c>
      <c r="K54" t="s">
        <v>109</v>
      </c>
      <c r="L54">
        <v>0</v>
      </c>
      <c r="M54">
        <v>0</v>
      </c>
      <c r="N54">
        <v>0</v>
      </c>
      <c r="O54">
        <v>0</v>
      </c>
    </row>
    <row r="55" spans="1:15" x14ac:dyDescent="0.35">
      <c r="A55" t="s">
        <v>108</v>
      </c>
      <c r="B55" t="s">
        <v>54</v>
      </c>
      <c r="C55" t="s">
        <v>32</v>
      </c>
      <c r="D55">
        <v>100407</v>
      </c>
      <c r="E55" t="s">
        <v>135</v>
      </c>
      <c r="F55">
        <v>0</v>
      </c>
      <c r="G55">
        <v>0</v>
      </c>
      <c r="H55">
        <v>0</v>
      </c>
      <c r="I55">
        <v>0</v>
      </c>
      <c r="J55">
        <v>0</v>
      </c>
      <c r="K55" t="s">
        <v>109</v>
      </c>
      <c r="L55">
        <v>0</v>
      </c>
      <c r="M55">
        <v>0</v>
      </c>
      <c r="N55">
        <v>0</v>
      </c>
      <c r="O55">
        <v>0</v>
      </c>
    </row>
    <row r="56" spans="1:15" x14ac:dyDescent="0.35">
      <c r="A56" t="s">
        <v>108</v>
      </c>
      <c r="B56" t="s">
        <v>54</v>
      </c>
      <c r="C56" t="s">
        <v>32</v>
      </c>
      <c r="D56">
        <v>100407</v>
      </c>
      <c r="E56" t="s">
        <v>136</v>
      </c>
      <c r="F56">
        <v>0</v>
      </c>
      <c r="G56">
        <v>0</v>
      </c>
      <c r="H56">
        <v>0</v>
      </c>
      <c r="I56">
        <v>0</v>
      </c>
      <c r="J56">
        <v>0</v>
      </c>
      <c r="K56" t="s">
        <v>109</v>
      </c>
      <c r="L56">
        <v>0</v>
      </c>
      <c r="M56">
        <v>0</v>
      </c>
      <c r="N56">
        <v>0</v>
      </c>
      <c r="O56">
        <v>0</v>
      </c>
    </row>
    <row r="57" spans="1:15" x14ac:dyDescent="0.35">
      <c r="A57" t="s">
        <v>108</v>
      </c>
      <c r="B57" t="s">
        <v>54</v>
      </c>
      <c r="C57" t="s">
        <v>32</v>
      </c>
      <c r="D57">
        <v>100407</v>
      </c>
      <c r="E57" t="s">
        <v>137</v>
      </c>
      <c r="F57">
        <v>0</v>
      </c>
      <c r="G57">
        <v>0</v>
      </c>
      <c r="H57">
        <v>0</v>
      </c>
      <c r="I57">
        <v>0</v>
      </c>
      <c r="J57">
        <v>0</v>
      </c>
      <c r="K57" t="s">
        <v>109</v>
      </c>
      <c r="L57">
        <v>0</v>
      </c>
      <c r="M57">
        <v>0</v>
      </c>
      <c r="N57">
        <v>0</v>
      </c>
      <c r="O57">
        <v>0</v>
      </c>
    </row>
    <row r="58" spans="1:15" x14ac:dyDescent="0.35">
      <c r="A58" t="s">
        <v>108</v>
      </c>
      <c r="B58" t="s">
        <v>54</v>
      </c>
      <c r="C58" t="s">
        <v>32</v>
      </c>
      <c r="D58">
        <v>100407</v>
      </c>
      <c r="E58" t="s">
        <v>138</v>
      </c>
      <c r="F58">
        <v>0</v>
      </c>
      <c r="G58">
        <v>0</v>
      </c>
      <c r="H58">
        <v>0</v>
      </c>
      <c r="I58">
        <v>0</v>
      </c>
      <c r="J58">
        <v>0</v>
      </c>
      <c r="K58" t="s">
        <v>109</v>
      </c>
      <c r="L58">
        <v>0</v>
      </c>
      <c r="M58">
        <v>0</v>
      </c>
      <c r="N58">
        <v>0</v>
      </c>
      <c r="O58">
        <v>0</v>
      </c>
    </row>
    <row r="59" spans="1:15" x14ac:dyDescent="0.35">
      <c r="A59" t="s">
        <v>108</v>
      </c>
      <c r="B59" t="s">
        <v>54</v>
      </c>
      <c r="C59" t="s">
        <v>32</v>
      </c>
      <c r="D59">
        <v>100407</v>
      </c>
      <c r="E59" t="s">
        <v>139</v>
      </c>
      <c r="F59">
        <v>0</v>
      </c>
      <c r="G59">
        <v>0</v>
      </c>
      <c r="H59">
        <v>0</v>
      </c>
      <c r="I59">
        <v>0</v>
      </c>
      <c r="J59">
        <v>0</v>
      </c>
      <c r="K59" t="s">
        <v>109</v>
      </c>
      <c r="L59">
        <v>0</v>
      </c>
      <c r="M59">
        <v>0</v>
      </c>
      <c r="N59">
        <v>0</v>
      </c>
      <c r="O59">
        <v>0</v>
      </c>
    </row>
    <row r="60" spans="1:15" x14ac:dyDescent="0.35">
      <c r="A60" t="s">
        <v>108</v>
      </c>
      <c r="B60" t="s">
        <v>54</v>
      </c>
      <c r="C60" t="s">
        <v>32</v>
      </c>
      <c r="D60">
        <v>100407</v>
      </c>
      <c r="E60" t="s">
        <v>140</v>
      </c>
      <c r="F60">
        <v>0</v>
      </c>
      <c r="G60">
        <v>0</v>
      </c>
      <c r="H60">
        <v>0</v>
      </c>
      <c r="I60">
        <v>0</v>
      </c>
      <c r="J60">
        <v>0</v>
      </c>
      <c r="K60" t="s">
        <v>109</v>
      </c>
      <c r="L60">
        <v>0</v>
      </c>
      <c r="M60">
        <v>0</v>
      </c>
      <c r="N60">
        <v>0</v>
      </c>
      <c r="O60">
        <v>0</v>
      </c>
    </row>
    <row r="61" spans="1:15" x14ac:dyDescent="0.35">
      <c r="A61" t="s">
        <v>108</v>
      </c>
      <c r="B61" t="s">
        <v>54</v>
      </c>
      <c r="C61" t="s">
        <v>32</v>
      </c>
      <c r="D61">
        <v>100407</v>
      </c>
      <c r="E61" t="s">
        <v>141</v>
      </c>
      <c r="F61">
        <v>0</v>
      </c>
      <c r="G61">
        <v>0</v>
      </c>
      <c r="H61">
        <v>0</v>
      </c>
      <c r="I61">
        <v>0</v>
      </c>
      <c r="J61">
        <v>0</v>
      </c>
      <c r="K61" t="s">
        <v>109</v>
      </c>
      <c r="L61">
        <v>0</v>
      </c>
      <c r="M61">
        <v>0</v>
      </c>
      <c r="N61">
        <v>0</v>
      </c>
      <c r="O61">
        <v>0</v>
      </c>
    </row>
    <row r="62" spans="1:15" x14ac:dyDescent="0.35">
      <c r="A62" t="s">
        <v>108</v>
      </c>
      <c r="B62" t="s">
        <v>54</v>
      </c>
      <c r="C62" t="s">
        <v>142</v>
      </c>
      <c r="D62">
        <v>100472</v>
      </c>
      <c r="E62" t="s">
        <v>143</v>
      </c>
      <c r="F62">
        <v>0</v>
      </c>
      <c r="G62">
        <v>0</v>
      </c>
      <c r="H62">
        <v>0</v>
      </c>
      <c r="I62">
        <v>0</v>
      </c>
      <c r="J62">
        <v>0</v>
      </c>
      <c r="K62" t="s">
        <v>109</v>
      </c>
      <c r="L62">
        <v>0</v>
      </c>
      <c r="M62">
        <v>0</v>
      </c>
      <c r="N62">
        <v>0</v>
      </c>
      <c r="O62">
        <v>0</v>
      </c>
    </row>
    <row r="63" spans="1:15" x14ac:dyDescent="0.35">
      <c r="A63" t="s">
        <v>108</v>
      </c>
      <c r="B63" t="s">
        <v>54</v>
      </c>
      <c r="C63" t="s">
        <v>142</v>
      </c>
      <c r="D63">
        <v>100472</v>
      </c>
      <c r="E63" t="s">
        <v>144</v>
      </c>
      <c r="F63">
        <v>0</v>
      </c>
      <c r="G63">
        <v>0</v>
      </c>
      <c r="H63">
        <v>0</v>
      </c>
      <c r="I63">
        <v>0</v>
      </c>
      <c r="J63">
        <v>0</v>
      </c>
      <c r="K63" t="s">
        <v>109</v>
      </c>
      <c r="L63">
        <v>0</v>
      </c>
      <c r="M63">
        <v>0</v>
      </c>
      <c r="N63">
        <v>0</v>
      </c>
      <c r="O63">
        <v>0</v>
      </c>
    </row>
    <row r="64" spans="1:15" x14ac:dyDescent="0.35">
      <c r="A64" t="s">
        <v>108</v>
      </c>
      <c r="B64" t="s">
        <v>54</v>
      </c>
      <c r="C64" t="s">
        <v>142</v>
      </c>
      <c r="D64">
        <v>100472</v>
      </c>
      <c r="E64" t="s">
        <v>145</v>
      </c>
      <c r="F64">
        <v>0</v>
      </c>
      <c r="G64">
        <v>0</v>
      </c>
      <c r="H64">
        <v>0</v>
      </c>
      <c r="I64">
        <v>0</v>
      </c>
      <c r="J64">
        <v>0</v>
      </c>
      <c r="K64" t="s">
        <v>109</v>
      </c>
      <c r="L64">
        <v>0</v>
      </c>
      <c r="M64">
        <v>0</v>
      </c>
      <c r="N64">
        <v>0</v>
      </c>
      <c r="O64">
        <v>0</v>
      </c>
    </row>
    <row r="65" spans="1:15" x14ac:dyDescent="0.35">
      <c r="A65" t="s">
        <v>108</v>
      </c>
      <c r="B65" t="s">
        <v>54</v>
      </c>
      <c r="C65" t="s">
        <v>142</v>
      </c>
      <c r="D65">
        <v>100472</v>
      </c>
      <c r="E65" t="s">
        <v>146</v>
      </c>
      <c r="F65">
        <v>0</v>
      </c>
      <c r="G65">
        <v>0</v>
      </c>
      <c r="H65">
        <v>0</v>
      </c>
      <c r="I65">
        <v>0</v>
      </c>
      <c r="J65">
        <v>0</v>
      </c>
      <c r="K65" t="s">
        <v>109</v>
      </c>
      <c r="L65">
        <v>0</v>
      </c>
      <c r="M65">
        <v>0</v>
      </c>
      <c r="N65">
        <v>0</v>
      </c>
      <c r="O65">
        <v>0</v>
      </c>
    </row>
    <row r="66" spans="1:15" x14ac:dyDescent="0.35">
      <c r="A66" t="s">
        <v>108</v>
      </c>
      <c r="B66" t="s">
        <v>54</v>
      </c>
      <c r="C66" t="s">
        <v>142</v>
      </c>
      <c r="D66">
        <v>100472</v>
      </c>
      <c r="E66" t="s">
        <v>147</v>
      </c>
      <c r="F66">
        <v>0</v>
      </c>
      <c r="G66">
        <v>0</v>
      </c>
      <c r="H66">
        <v>0</v>
      </c>
      <c r="I66">
        <v>0</v>
      </c>
      <c r="J66">
        <v>0</v>
      </c>
      <c r="K66" t="s">
        <v>109</v>
      </c>
      <c r="L66">
        <v>0</v>
      </c>
      <c r="M66">
        <v>0</v>
      </c>
      <c r="N66">
        <v>0</v>
      </c>
      <c r="O66">
        <v>0</v>
      </c>
    </row>
    <row r="67" spans="1:15" x14ac:dyDescent="0.35">
      <c r="A67" t="s">
        <v>108</v>
      </c>
      <c r="B67" t="s">
        <v>54</v>
      </c>
      <c r="C67" t="s">
        <v>142</v>
      </c>
      <c r="D67">
        <v>100472</v>
      </c>
      <c r="E67" t="s">
        <v>148</v>
      </c>
      <c r="F67">
        <v>0</v>
      </c>
      <c r="G67">
        <v>0</v>
      </c>
      <c r="H67">
        <v>0</v>
      </c>
      <c r="I67">
        <v>0</v>
      </c>
      <c r="J67">
        <v>0</v>
      </c>
      <c r="K67" t="s">
        <v>109</v>
      </c>
      <c r="L67">
        <v>0</v>
      </c>
      <c r="M67">
        <v>0</v>
      </c>
      <c r="N67">
        <v>0</v>
      </c>
      <c r="O67">
        <v>0</v>
      </c>
    </row>
    <row r="68" spans="1:15" x14ac:dyDescent="0.35">
      <c r="A68" t="s">
        <v>108</v>
      </c>
      <c r="B68" t="s">
        <v>54</v>
      </c>
      <c r="C68" t="s">
        <v>142</v>
      </c>
      <c r="D68">
        <v>100472</v>
      </c>
      <c r="E68" t="s">
        <v>149</v>
      </c>
      <c r="F68">
        <v>0</v>
      </c>
      <c r="G68">
        <v>0</v>
      </c>
      <c r="H68">
        <v>0</v>
      </c>
      <c r="I68">
        <v>0</v>
      </c>
      <c r="J68">
        <v>0</v>
      </c>
      <c r="K68" t="s">
        <v>109</v>
      </c>
      <c r="L68">
        <v>0</v>
      </c>
      <c r="M68">
        <v>0</v>
      </c>
      <c r="N68">
        <v>0</v>
      </c>
      <c r="O68">
        <v>0</v>
      </c>
    </row>
    <row r="69" spans="1:15" x14ac:dyDescent="0.35">
      <c r="A69" t="s">
        <v>108</v>
      </c>
      <c r="B69" t="s">
        <v>54</v>
      </c>
      <c r="C69" t="s">
        <v>142</v>
      </c>
      <c r="D69">
        <v>100472</v>
      </c>
      <c r="E69" t="s">
        <v>150</v>
      </c>
      <c r="F69">
        <v>0</v>
      </c>
      <c r="G69">
        <v>0</v>
      </c>
      <c r="H69">
        <v>0</v>
      </c>
      <c r="I69">
        <v>0</v>
      </c>
      <c r="J69">
        <v>0</v>
      </c>
      <c r="K69" t="s">
        <v>109</v>
      </c>
      <c r="L69">
        <v>0</v>
      </c>
      <c r="M69">
        <v>0</v>
      </c>
      <c r="N69">
        <v>0</v>
      </c>
      <c r="O69">
        <v>0</v>
      </c>
    </row>
    <row r="70" spans="1:15" x14ac:dyDescent="0.35">
      <c r="A70" t="s">
        <v>108</v>
      </c>
      <c r="B70" t="s">
        <v>54</v>
      </c>
      <c r="C70" t="s">
        <v>142</v>
      </c>
      <c r="D70">
        <v>100472</v>
      </c>
      <c r="E70" t="s">
        <v>151</v>
      </c>
      <c r="F70">
        <v>0</v>
      </c>
      <c r="G70">
        <v>0</v>
      </c>
      <c r="H70">
        <v>0</v>
      </c>
      <c r="I70">
        <v>0</v>
      </c>
      <c r="J70">
        <v>0</v>
      </c>
      <c r="K70" t="s">
        <v>109</v>
      </c>
      <c r="L70">
        <v>0</v>
      </c>
      <c r="M70">
        <v>0</v>
      </c>
      <c r="N70">
        <v>0</v>
      </c>
      <c r="O70">
        <v>0</v>
      </c>
    </row>
    <row r="71" spans="1:15" x14ac:dyDescent="0.35">
      <c r="A71" t="s">
        <v>108</v>
      </c>
      <c r="B71" t="s">
        <v>54</v>
      </c>
      <c r="C71" t="s">
        <v>142</v>
      </c>
      <c r="D71">
        <v>100472</v>
      </c>
      <c r="E71" t="s">
        <v>152</v>
      </c>
      <c r="F71">
        <v>0</v>
      </c>
      <c r="G71">
        <v>0</v>
      </c>
      <c r="H71">
        <v>0</v>
      </c>
      <c r="I71">
        <v>0</v>
      </c>
      <c r="J71">
        <v>0</v>
      </c>
      <c r="K71" t="s">
        <v>109</v>
      </c>
      <c r="L71">
        <v>0</v>
      </c>
      <c r="M71">
        <v>0</v>
      </c>
      <c r="N71">
        <v>0</v>
      </c>
      <c r="O71">
        <v>0</v>
      </c>
    </row>
    <row r="72" spans="1:15" x14ac:dyDescent="0.35">
      <c r="A72" t="s">
        <v>108</v>
      </c>
      <c r="B72" t="s">
        <v>54</v>
      </c>
      <c r="C72" t="s">
        <v>142</v>
      </c>
      <c r="D72">
        <v>100472</v>
      </c>
      <c r="E72" t="s">
        <v>153</v>
      </c>
      <c r="F72">
        <v>0</v>
      </c>
      <c r="G72">
        <v>0</v>
      </c>
      <c r="H72">
        <v>0</v>
      </c>
      <c r="I72">
        <v>0</v>
      </c>
      <c r="J72">
        <v>0</v>
      </c>
      <c r="K72" t="s">
        <v>109</v>
      </c>
      <c r="L72">
        <v>0</v>
      </c>
      <c r="M72">
        <v>0</v>
      </c>
      <c r="N72">
        <v>0</v>
      </c>
      <c r="O72">
        <v>0</v>
      </c>
    </row>
    <row r="73" spans="1:15" x14ac:dyDescent="0.35">
      <c r="A73" t="s">
        <v>108</v>
      </c>
      <c r="B73" t="s">
        <v>54</v>
      </c>
      <c r="C73" t="s">
        <v>142</v>
      </c>
      <c r="D73">
        <v>100472</v>
      </c>
      <c r="E73" t="s">
        <v>154</v>
      </c>
      <c r="F73">
        <v>0</v>
      </c>
      <c r="G73">
        <v>0</v>
      </c>
      <c r="H73">
        <v>0</v>
      </c>
      <c r="I73">
        <v>0</v>
      </c>
      <c r="J73">
        <v>0</v>
      </c>
      <c r="K73" t="s">
        <v>109</v>
      </c>
      <c r="L73">
        <v>0</v>
      </c>
      <c r="M73">
        <v>0</v>
      </c>
      <c r="N73">
        <v>0</v>
      </c>
      <c r="O73">
        <v>0</v>
      </c>
    </row>
    <row r="74" spans="1:15" x14ac:dyDescent="0.35">
      <c r="A74" t="s">
        <v>108</v>
      </c>
      <c r="B74" t="s">
        <v>54</v>
      </c>
      <c r="C74" t="s">
        <v>142</v>
      </c>
      <c r="D74">
        <v>100472</v>
      </c>
      <c r="E74" t="s">
        <v>155</v>
      </c>
      <c r="F74">
        <v>0</v>
      </c>
      <c r="G74">
        <v>0</v>
      </c>
      <c r="H74">
        <v>0</v>
      </c>
      <c r="I74">
        <v>0</v>
      </c>
      <c r="J74">
        <v>0</v>
      </c>
      <c r="K74" t="s">
        <v>109</v>
      </c>
      <c r="L74">
        <v>0</v>
      </c>
      <c r="M74">
        <v>0</v>
      </c>
      <c r="N74">
        <v>0</v>
      </c>
      <c r="O74">
        <v>0</v>
      </c>
    </row>
    <row r="75" spans="1:15" x14ac:dyDescent="0.35">
      <c r="A75" t="s">
        <v>108</v>
      </c>
      <c r="B75" t="s">
        <v>54</v>
      </c>
      <c r="C75" t="s">
        <v>142</v>
      </c>
      <c r="D75">
        <v>100472</v>
      </c>
      <c r="E75" t="s">
        <v>156</v>
      </c>
      <c r="F75">
        <v>0</v>
      </c>
      <c r="G75">
        <v>0</v>
      </c>
      <c r="H75">
        <v>0</v>
      </c>
      <c r="I75">
        <v>0</v>
      </c>
      <c r="J75">
        <v>0</v>
      </c>
      <c r="K75" t="s">
        <v>109</v>
      </c>
      <c r="L75">
        <v>0</v>
      </c>
      <c r="M75">
        <v>0</v>
      </c>
      <c r="N75">
        <v>0</v>
      </c>
      <c r="O75">
        <v>0</v>
      </c>
    </row>
    <row r="76" spans="1:15" x14ac:dyDescent="0.35">
      <c r="A76" t="s">
        <v>108</v>
      </c>
      <c r="B76" t="s">
        <v>54</v>
      </c>
      <c r="C76" t="s">
        <v>142</v>
      </c>
      <c r="D76">
        <v>100472</v>
      </c>
      <c r="E76" t="s">
        <v>157</v>
      </c>
      <c r="F76">
        <v>0</v>
      </c>
      <c r="G76">
        <v>0</v>
      </c>
      <c r="H76">
        <v>0</v>
      </c>
      <c r="I76">
        <v>0</v>
      </c>
      <c r="J76">
        <v>0</v>
      </c>
      <c r="K76" t="s">
        <v>109</v>
      </c>
      <c r="L76">
        <v>0</v>
      </c>
      <c r="M76">
        <v>0</v>
      </c>
      <c r="N76">
        <v>0</v>
      </c>
      <c r="O76">
        <v>0</v>
      </c>
    </row>
    <row r="77" spans="1:15" x14ac:dyDescent="0.35">
      <c r="A77" t="s">
        <v>108</v>
      </c>
      <c r="B77" t="s">
        <v>54</v>
      </c>
      <c r="C77" t="s">
        <v>142</v>
      </c>
      <c r="D77">
        <v>100472</v>
      </c>
      <c r="E77" t="s">
        <v>158</v>
      </c>
      <c r="F77">
        <v>0</v>
      </c>
      <c r="G77">
        <v>0</v>
      </c>
      <c r="H77">
        <v>0</v>
      </c>
      <c r="I77">
        <v>0</v>
      </c>
      <c r="J77">
        <v>0</v>
      </c>
      <c r="K77" t="s">
        <v>109</v>
      </c>
      <c r="L77">
        <v>0</v>
      </c>
      <c r="M77">
        <v>0</v>
      </c>
      <c r="N77">
        <v>0</v>
      </c>
      <c r="O77">
        <v>0</v>
      </c>
    </row>
    <row r="78" spans="1:15" x14ac:dyDescent="0.35">
      <c r="A78" t="s">
        <v>108</v>
      </c>
      <c r="B78" t="s">
        <v>54</v>
      </c>
      <c r="C78" t="s">
        <v>142</v>
      </c>
      <c r="D78">
        <v>100472</v>
      </c>
      <c r="E78" t="s">
        <v>159</v>
      </c>
      <c r="F78">
        <v>0</v>
      </c>
      <c r="G78">
        <v>0</v>
      </c>
      <c r="H78">
        <v>0</v>
      </c>
      <c r="I78">
        <v>0</v>
      </c>
      <c r="J78">
        <v>0</v>
      </c>
      <c r="K78" t="s">
        <v>109</v>
      </c>
      <c r="L78">
        <v>0</v>
      </c>
      <c r="M78">
        <v>0</v>
      </c>
      <c r="N78">
        <v>0</v>
      </c>
      <c r="O78">
        <v>0</v>
      </c>
    </row>
    <row r="79" spans="1:15" x14ac:dyDescent="0.35">
      <c r="A79" t="s">
        <v>108</v>
      </c>
      <c r="B79" t="s">
        <v>54</v>
      </c>
      <c r="C79" t="s">
        <v>142</v>
      </c>
      <c r="D79">
        <v>100472</v>
      </c>
      <c r="E79" t="s">
        <v>160</v>
      </c>
      <c r="F79">
        <v>0</v>
      </c>
      <c r="G79">
        <v>0</v>
      </c>
      <c r="H79">
        <v>0</v>
      </c>
      <c r="I79">
        <v>0</v>
      </c>
      <c r="J79">
        <v>0</v>
      </c>
      <c r="K79" t="s">
        <v>109</v>
      </c>
      <c r="L79">
        <v>0</v>
      </c>
      <c r="M79">
        <v>0</v>
      </c>
      <c r="N79">
        <v>0</v>
      </c>
      <c r="O79">
        <v>0</v>
      </c>
    </row>
    <row r="80" spans="1:15" x14ac:dyDescent="0.35">
      <c r="A80" t="s">
        <v>108</v>
      </c>
      <c r="B80" t="s">
        <v>54</v>
      </c>
      <c r="C80" t="s">
        <v>142</v>
      </c>
      <c r="D80">
        <v>100472</v>
      </c>
      <c r="E80" t="s">
        <v>161</v>
      </c>
      <c r="F80">
        <v>0</v>
      </c>
      <c r="G80">
        <v>0</v>
      </c>
      <c r="H80">
        <v>0</v>
      </c>
      <c r="I80">
        <v>0</v>
      </c>
      <c r="J80">
        <v>0</v>
      </c>
      <c r="K80" t="s">
        <v>109</v>
      </c>
      <c r="L80">
        <v>0</v>
      </c>
      <c r="M80">
        <v>0</v>
      </c>
      <c r="N80">
        <v>0</v>
      </c>
      <c r="O80">
        <v>0</v>
      </c>
    </row>
    <row r="81" spans="1:15" x14ac:dyDescent="0.35">
      <c r="A81" t="s">
        <v>108</v>
      </c>
      <c r="B81" t="s">
        <v>54</v>
      </c>
      <c r="C81" t="s">
        <v>142</v>
      </c>
      <c r="D81">
        <v>100472</v>
      </c>
      <c r="E81" t="s">
        <v>162</v>
      </c>
      <c r="F81">
        <v>0</v>
      </c>
      <c r="G81">
        <v>0</v>
      </c>
      <c r="H81">
        <v>0</v>
      </c>
      <c r="I81">
        <v>0</v>
      </c>
      <c r="J81">
        <v>0</v>
      </c>
      <c r="K81" t="s">
        <v>109</v>
      </c>
      <c r="L81">
        <v>0</v>
      </c>
      <c r="M81">
        <v>0</v>
      </c>
      <c r="N81">
        <v>0</v>
      </c>
      <c r="O81">
        <v>0</v>
      </c>
    </row>
    <row r="82" spans="1:15" x14ac:dyDescent="0.35">
      <c r="A82" t="s">
        <v>108</v>
      </c>
      <c r="B82" t="s">
        <v>54</v>
      </c>
      <c r="C82" t="s">
        <v>142</v>
      </c>
      <c r="D82">
        <v>100472</v>
      </c>
      <c r="E82" t="s">
        <v>163</v>
      </c>
      <c r="F82">
        <v>0</v>
      </c>
      <c r="G82">
        <v>0</v>
      </c>
      <c r="H82">
        <v>0</v>
      </c>
      <c r="I82">
        <v>0</v>
      </c>
      <c r="J82">
        <v>0</v>
      </c>
      <c r="K82" t="s">
        <v>109</v>
      </c>
      <c r="L82">
        <v>0</v>
      </c>
      <c r="M82">
        <v>0</v>
      </c>
      <c r="N82">
        <v>0</v>
      </c>
      <c r="O82">
        <v>0</v>
      </c>
    </row>
    <row r="83" spans="1:15" x14ac:dyDescent="0.35">
      <c r="A83" t="s">
        <v>108</v>
      </c>
      <c r="B83" t="s">
        <v>54</v>
      </c>
      <c r="C83" t="s">
        <v>142</v>
      </c>
      <c r="D83">
        <v>100472</v>
      </c>
      <c r="E83" t="s">
        <v>164</v>
      </c>
      <c r="F83">
        <v>0</v>
      </c>
      <c r="G83">
        <v>0</v>
      </c>
      <c r="H83">
        <v>0</v>
      </c>
      <c r="I83">
        <v>0</v>
      </c>
      <c r="J83">
        <v>0</v>
      </c>
      <c r="K83" t="s">
        <v>109</v>
      </c>
      <c r="L83">
        <v>0</v>
      </c>
      <c r="M83">
        <v>0</v>
      </c>
      <c r="N83">
        <v>0</v>
      </c>
      <c r="O83">
        <v>0</v>
      </c>
    </row>
    <row r="84" spans="1:15" x14ac:dyDescent="0.35">
      <c r="A84" t="s">
        <v>108</v>
      </c>
      <c r="B84" t="s">
        <v>54</v>
      </c>
      <c r="C84" t="s">
        <v>142</v>
      </c>
      <c r="D84">
        <v>100472</v>
      </c>
      <c r="E84" t="s">
        <v>165</v>
      </c>
      <c r="F84">
        <v>0</v>
      </c>
      <c r="G84">
        <v>0</v>
      </c>
      <c r="H84">
        <v>0</v>
      </c>
      <c r="I84">
        <v>0</v>
      </c>
      <c r="J84">
        <v>0</v>
      </c>
      <c r="K84" t="s">
        <v>109</v>
      </c>
      <c r="L84">
        <v>0</v>
      </c>
      <c r="M84">
        <v>0</v>
      </c>
      <c r="N84">
        <v>0</v>
      </c>
      <c r="O84">
        <v>0</v>
      </c>
    </row>
    <row r="85" spans="1:15" x14ac:dyDescent="0.35">
      <c r="A85" t="s">
        <v>108</v>
      </c>
      <c r="B85" t="s">
        <v>54</v>
      </c>
      <c r="C85" t="s">
        <v>142</v>
      </c>
      <c r="D85">
        <v>100472</v>
      </c>
      <c r="E85" t="s">
        <v>166</v>
      </c>
      <c r="F85">
        <v>0</v>
      </c>
      <c r="G85">
        <v>0</v>
      </c>
      <c r="H85">
        <v>0</v>
      </c>
      <c r="I85">
        <v>0</v>
      </c>
      <c r="J85">
        <v>0</v>
      </c>
      <c r="K85" t="s">
        <v>109</v>
      </c>
      <c r="L85">
        <v>0</v>
      </c>
      <c r="M85">
        <v>0</v>
      </c>
      <c r="N85">
        <v>0</v>
      </c>
      <c r="O85">
        <v>0</v>
      </c>
    </row>
    <row r="86" spans="1:15" x14ac:dyDescent="0.35">
      <c r="A86" t="s">
        <v>108</v>
      </c>
      <c r="B86" t="s">
        <v>54</v>
      </c>
      <c r="C86" t="s">
        <v>142</v>
      </c>
      <c r="D86">
        <v>100472</v>
      </c>
      <c r="E86" t="s">
        <v>167</v>
      </c>
      <c r="F86">
        <v>0</v>
      </c>
      <c r="G86">
        <v>0</v>
      </c>
      <c r="H86">
        <v>0</v>
      </c>
      <c r="I86">
        <v>0</v>
      </c>
      <c r="J86">
        <v>0</v>
      </c>
      <c r="K86" t="s">
        <v>109</v>
      </c>
      <c r="L86">
        <v>0</v>
      </c>
      <c r="M86">
        <v>0</v>
      </c>
      <c r="N86">
        <v>0</v>
      </c>
      <c r="O86">
        <v>0</v>
      </c>
    </row>
    <row r="87" spans="1:15" x14ac:dyDescent="0.35">
      <c r="A87" t="s">
        <v>108</v>
      </c>
      <c r="B87" t="s">
        <v>54</v>
      </c>
      <c r="C87" t="s">
        <v>142</v>
      </c>
      <c r="D87">
        <v>100472</v>
      </c>
      <c r="E87" t="s">
        <v>168</v>
      </c>
      <c r="F87">
        <v>0</v>
      </c>
      <c r="G87">
        <v>0</v>
      </c>
      <c r="H87">
        <v>0</v>
      </c>
      <c r="I87">
        <v>0</v>
      </c>
      <c r="J87">
        <v>0</v>
      </c>
      <c r="K87" t="s">
        <v>109</v>
      </c>
      <c r="L87">
        <v>0</v>
      </c>
      <c r="M87">
        <v>0</v>
      </c>
      <c r="N87">
        <v>0</v>
      </c>
      <c r="O87">
        <v>0</v>
      </c>
    </row>
    <row r="88" spans="1:15" x14ac:dyDescent="0.35">
      <c r="A88" t="s">
        <v>108</v>
      </c>
      <c r="B88" t="s">
        <v>54</v>
      </c>
      <c r="C88" t="s">
        <v>142</v>
      </c>
      <c r="D88">
        <v>100472</v>
      </c>
      <c r="E88" t="s">
        <v>169</v>
      </c>
      <c r="F88">
        <v>0</v>
      </c>
      <c r="G88">
        <v>0</v>
      </c>
      <c r="H88">
        <v>0</v>
      </c>
      <c r="I88">
        <v>0</v>
      </c>
      <c r="J88">
        <v>0</v>
      </c>
      <c r="K88" t="s">
        <v>109</v>
      </c>
      <c r="L88">
        <v>0</v>
      </c>
      <c r="M88">
        <v>0</v>
      </c>
      <c r="N88">
        <v>0</v>
      </c>
      <c r="O88">
        <v>0</v>
      </c>
    </row>
    <row r="89" spans="1:15" x14ac:dyDescent="0.35">
      <c r="A89" t="s">
        <v>108</v>
      </c>
      <c r="B89" t="s">
        <v>54</v>
      </c>
      <c r="C89" t="s">
        <v>142</v>
      </c>
      <c r="D89">
        <v>100472</v>
      </c>
      <c r="E89" t="s">
        <v>170</v>
      </c>
      <c r="F89">
        <v>0</v>
      </c>
      <c r="G89">
        <v>0</v>
      </c>
      <c r="H89">
        <v>0</v>
      </c>
      <c r="I89">
        <v>0</v>
      </c>
      <c r="J89">
        <v>0</v>
      </c>
      <c r="K89" t="s">
        <v>109</v>
      </c>
      <c r="L89">
        <v>0</v>
      </c>
      <c r="M89">
        <v>0</v>
      </c>
      <c r="N89">
        <v>0</v>
      </c>
      <c r="O89">
        <v>0</v>
      </c>
    </row>
    <row r="90" spans="1:15" x14ac:dyDescent="0.35">
      <c r="A90" t="s">
        <v>108</v>
      </c>
      <c r="B90" t="s">
        <v>54</v>
      </c>
      <c r="C90" t="s">
        <v>142</v>
      </c>
      <c r="D90">
        <v>100472</v>
      </c>
      <c r="E90" t="s">
        <v>171</v>
      </c>
      <c r="F90">
        <v>0</v>
      </c>
      <c r="G90">
        <v>0</v>
      </c>
      <c r="H90">
        <v>0</v>
      </c>
      <c r="I90">
        <v>0</v>
      </c>
      <c r="J90">
        <v>0</v>
      </c>
      <c r="K90" t="s">
        <v>109</v>
      </c>
      <c r="L90">
        <v>0</v>
      </c>
      <c r="M90">
        <v>0</v>
      </c>
      <c r="N90">
        <v>0</v>
      </c>
      <c r="O90">
        <v>0</v>
      </c>
    </row>
    <row r="91" spans="1:15" x14ac:dyDescent="0.35">
      <c r="A91" t="s">
        <v>108</v>
      </c>
      <c r="B91" t="s">
        <v>54</v>
      </c>
      <c r="C91" t="s">
        <v>142</v>
      </c>
      <c r="D91">
        <v>100472</v>
      </c>
      <c r="E91" t="s">
        <v>172</v>
      </c>
      <c r="F91">
        <v>0</v>
      </c>
      <c r="G91">
        <v>0</v>
      </c>
      <c r="H91">
        <v>0</v>
      </c>
      <c r="I91">
        <v>0</v>
      </c>
      <c r="J91">
        <v>0</v>
      </c>
      <c r="K91" t="s">
        <v>109</v>
      </c>
      <c r="L91">
        <v>0</v>
      </c>
      <c r="M91">
        <v>0</v>
      </c>
      <c r="N91">
        <v>0</v>
      </c>
      <c r="O91">
        <v>0</v>
      </c>
    </row>
    <row r="92" spans="1:15" x14ac:dyDescent="0.35">
      <c r="A92" t="s">
        <v>108</v>
      </c>
      <c r="B92" t="s">
        <v>54</v>
      </c>
      <c r="C92" t="s">
        <v>142</v>
      </c>
      <c r="D92">
        <v>100472</v>
      </c>
      <c r="E92" t="s">
        <v>173</v>
      </c>
      <c r="F92">
        <v>0</v>
      </c>
      <c r="G92">
        <v>0</v>
      </c>
      <c r="H92">
        <v>0</v>
      </c>
      <c r="I92">
        <v>0</v>
      </c>
      <c r="J92">
        <v>0</v>
      </c>
      <c r="K92" t="s">
        <v>109</v>
      </c>
      <c r="L92">
        <v>0</v>
      </c>
      <c r="M92">
        <v>0</v>
      </c>
      <c r="N92">
        <v>0</v>
      </c>
      <c r="O92">
        <v>0</v>
      </c>
    </row>
    <row r="93" spans="1:15" x14ac:dyDescent="0.35">
      <c r="A93" t="s">
        <v>108</v>
      </c>
      <c r="B93" t="s">
        <v>54</v>
      </c>
      <c r="C93" t="s">
        <v>142</v>
      </c>
      <c r="D93">
        <v>100472</v>
      </c>
      <c r="E93" t="s">
        <v>174</v>
      </c>
      <c r="F93">
        <v>0</v>
      </c>
      <c r="G93">
        <v>0</v>
      </c>
      <c r="H93">
        <v>0</v>
      </c>
      <c r="I93">
        <v>0</v>
      </c>
      <c r="J93">
        <v>0</v>
      </c>
      <c r="K93" t="s">
        <v>109</v>
      </c>
      <c r="L93">
        <v>0</v>
      </c>
      <c r="M93">
        <v>0</v>
      </c>
      <c r="N93">
        <v>0</v>
      </c>
      <c r="O93">
        <v>0</v>
      </c>
    </row>
    <row r="94" spans="1:15" x14ac:dyDescent="0.35">
      <c r="A94" t="s">
        <v>108</v>
      </c>
      <c r="B94" t="s">
        <v>54</v>
      </c>
      <c r="C94" t="s">
        <v>142</v>
      </c>
      <c r="D94">
        <v>100472</v>
      </c>
      <c r="E94" t="s">
        <v>175</v>
      </c>
      <c r="F94">
        <v>0</v>
      </c>
      <c r="G94">
        <v>0</v>
      </c>
      <c r="H94">
        <v>0</v>
      </c>
      <c r="I94">
        <v>0</v>
      </c>
      <c r="J94">
        <v>0</v>
      </c>
      <c r="K94" t="s">
        <v>109</v>
      </c>
      <c r="L94">
        <v>0</v>
      </c>
      <c r="M94">
        <v>0</v>
      </c>
      <c r="N94">
        <v>0</v>
      </c>
      <c r="O94">
        <v>0</v>
      </c>
    </row>
    <row r="95" spans="1:15" x14ac:dyDescent="0.35">
      <c r="A95" t="s">
        <v>108</v>
      </c>
      <c r="B95" t="s">
        <v>54</v>
      </c>
      <c r="C95" t="s">
        <v>142</v>
      </c>
      <c r="D95">
        <v>100472</v>
      </c>
      <c r="E95" t="s">
        <v>176</v>
      </c>
      <c r="F95">
        <v>0</v>
      </c>
      <c r="G95">
        <v>0</v>
      </c>
      <c r="H95">
        <v>0</v>
      </c>
      <c r="I95">
        <v>0</v>
      </c>
      <c r="J95">
        <v>0</v>
      </c>
      <c r="K95" t="s">
        <v>109</v>
      </c>
      <c r="L95">
        <v>0</v>
      </c>
      <c r="M95">
        <v>0</v>
      </c>
      <c r="N95">
        <v>0</v>
      </c>
      <c r="O95">
        <v>0</v>
      </c>
    </row>
    <row r="96" spans="1:15" x14ac:dyDescent="0.35">
      <c r="A96" t="s">
        <v>108</v>
      </c>
      <c r="B96" t="s">
        <v>54</v>
      </c>
      <c r="C96" t="s">
        <v>142</v>
      </c>
      <c r="D96">
        <v>100472</v>
      </c>
      <c r="E96" t="s">
        <v>177</v>
      </c>
      <c r="F96">
        <v>0</v>
      </c>
      <c r="G96">
        <v>0</v>
      </c>
      <c r="H96">
        <v>0</v>
      </c>
      <c r="I96">
        <v>0</v>
      </c>
      <c r="J96">
        <v>0</v>
      </c>
      <c r="K96" t="s">
        <v>109</v>
      </c>
      <c r="L96">
        <v>0</v>
      </c>
      <c r="M96">
        <v>0</v>
      </c>
      <c r="N96">
        <v>0</v>
      </c>
      <c r="O96">
        <v>0</v>
      </c>
    </row>
    <row r="97" spans="1:15" x14ac:dyDescent="0.35">
      <c r="A97" t="s">
        <v>108</v>
      </c>
      <c r="B97" t="s">
        <v>54</v>
      </c>
      <c r="C97" t="s">
        <v>142</v>
      </c>
      <c r="D97">
        <v>100472</v>
      </c>
      <c r="E97" t="s">
        <v>178</v>
      </c>
      <c r="F97">
        <v>0</v>
      </c>
      <c r="G97">
        <v>0</v>
      </c>
      <c r="H97">
        <v>0</v>
      </c>
      <c r="I97">
        <v>0</v>
      </c>
      <c r="J97">
        <v>0</v>
      </c>
      <c r="K97" t="s">
        <v>109</v>
      </c>
      <c r="L97">
        <v>0</v>
      </c>
      <c r="M97">
        <v>0</v>
      </c>
      <c r="N97">
        <v>0</v>
      </c>
      <c r="O97">
        <v>0</v>
      </c>
    </row>
    <row r="98" spans="1:15" x14ac:dyDescent="0.35">
      <c r="A98" t="s">
        <v>108</v>
      </c>
      <c r="B98" t="s">
        <v>54</v>
      </c>
      <c r="C98" t="s">
        <v>142</v>
      </c>
      <c r="D98">
        <v>100472</v>
      </c>
      <c r="E98" t="s">
        <v>179</v>
      </c>
      <c r="F98">
        <v>0</v>
      </c>
      <c r="G98">
        <v>0</v>
      </c>
      <c r="H98">
        <v>0</v>
      </c>
      <c r="I98">
        <v>0</v>
      </c>
      <c r="J98">
        <v>0</v>
      </c>
      <c r="K98" t="s">
        <v>109</v>
      </c>
      <c r="L98">
        <v>0</v>
      </c>
      <c r="M98">
        <v>0</v>
      </c>
      <c r="N98">
        <v>0</v>
      </c>
      <c r="O98">
        <v>0</v>
      </c>
    </row>
    <row r="99" spans="1:15" x14ac:dyDescent="0.35">
      <c r="A99" t="s">
        <v>108</v>
      </c>
      <c r="B99" t="s">
        <v>54</v>
      </c>
      <c r="C99" t="s">
        <v>142</v>
      </c>
      <c r="D99">
        <v>100472</v>
      </c>
      <c r="E99" t="s">
        <v>180</v>
      </c>
      <c r="F99">
        <v>0</v>
      </c>
      <c r="G99">
        <v>0</v>
      </c>
      <c r="H99">
        <v>0</v>
      </c>
      <c r="I99">
        <v>0</v>
      </c>
      <c r="J99">
        <v>0</v>
      </c>
      <c r="K99" t="s">
        <v>109</v>
      </c>
      <c r="L99">
        <v>0</v>
      </c>
      <c r="M99">
        <v>0</v>
      </c>
      <c r="N99">
        <v>0</v>
      </c>
      <c r="O99">
        <v>0</v>
      </c>
    </row>
    <row r="100" spans="1:15" x14ac:dyDescent="0.35">
      <c r="A100" t="s">
        <v>108</v>
      </c>
      <c r="B100" t="s">
        <v>54</v>
      </c>
      <c r="C100" t="s">
        <v>142</v>
      </c>
      <c r="D100">
        <v>100472</v>
      </c>
      <c r="E100" t="s">
        <v>181</v>
      </c>
      <c r="F100">
        <v>0</v>
      </c>
      <c r="G100">
        <v>0</v>
      </c>
      <c r="H100">
        <v>0</v>
      </c>
      <c r="I100">
        <v>0</v>
      </c>
      <c r="J100">
        <v>0</v>
      </c>
      <c r="K100" t="s">
        <v>109</v>
      </c>
      <c r="L100">
        <v>0</v>
      </c>
      <c r="M100">
        <v>0</v>
      </c>
      <c r="N100">
        <v>0</v>
      </c>
      <c r="O100">
        <v>0</v>
      </c>
    </row>
    <row r="101" spans="1:15" x14ac:dyDescent="0.35">
      <c r="A101" t="s">
        <v>108</v>
      </c>
      <c r="B101" t="s">
        <v>54</v>
      </c>
      <c r="C101" t="s">
        <v>142</v>
      </c>
      <c r="D101">
        <v>100472</v>
      </c>
      <c r="E101" t="s">
        <v>182</v>
      </c>
      <c r="F101">
        <v>0</v>
      </c>
      <c r="G101">
        <v>0</v>
      </c>
      <c r="H101">
        <v>0</v>
      </c>
      <c r="I101">
        <v>0</v>
      </c>
      <c r="J101">
        <v>0</v>
      </c>
      <c r="K101" t="s">
        <v>109</v>
      </c>
      <c r="L101">
        <v>0</v>
      </c>
      <c r="M101">
        <v>0</v>
      </c>
      <c r="N101">
        <v>0</v>
      </c>
      <c r="O101">
        <v>0</v>
      </c>
    </row>
    <row r="102" spans="1:15" x14ac:dyDescent="0.35">
      <c r="A102" t="s">
        <v>108</v>
      </c>
      <c r="B102" t="s">
        <v>54</v>
      </c>
      <c r="C102" t="s">
        <v>142</v>
      </c>
      <c r="D102">
        <v>100472</v>
      </c>
      <c r="E102" t="s">
        <v>183</v>
      </c>
      <c r="F102">
        <v>0</v>
      </c>
      <c r="G102">
        <v>0</v>
      </c>
      <c r="H102">
        <v>0</v>
      </c>
      <c r="I102">
        <v>0</v>
      </c>
      <c r="J102">
        <v>0</v>
      </c>
      <c r="K102" t="s">
        <v>109</v>
      </c>
      <c r="L102">
        <v>0</v>
      </c>
      <c r="M102">
        <v>0</v>
      </c>
      <c r="N102">
        <v>0</v>
      </c>
      <c r="O102">
        <v>0</v>
      </c>
    </row>
    <row r="103" spans="1:15" x14ac:dyDescent="0.35">
      <c r="A103" t="s">
        <v>108</v>
      </c>
      <c r="B103" t="s">
        <v>54</v>
      </c>
      <c r="C103" t="s">
        <v>142</v>
      </c>
      <c r="D103">
        <v>100472</v>
      </c>
      <c r="E103" t="s">
        <v>184</v>
      </c>
      <c r="F103">
        <v>0</v>
      </c>
      <c r="G103">
        <v>0</v>
      </c>
      <c r="H103">
        <v>0</v>
      </c>
      <c r="I103">
        <v>0</v>
      </c>
      <c r="J103">
        <v>0</v>
      </c>
      <c r="K103" t="s">
        <v>109</v>
      </c>
      <c r="L103">
        <v>0</v>
      </c>
      <c r="M103">
        <v>0</v>
      </c>
      <c r="N103">
        <v>0</v>
      </c>
      <c r="O103">
        <v>0</v>
      </c>
    </row>
    <row r="104" spans="1:15" x14ac:dyDescent="0.35">
      <c r="A104" t="s">
        <v>108</v>
      </c>
      <c r="B104" t="s">
        <v>54</v>
      </c>
      <c r="C104" t="s">
        <v>142</v>
      </c>
      <c r="D104">
        <v>100472</v>
      </c>
      <c r="E104" t="s">
        <v>185</v>
      </c>
      <c r="F104">
        <v>0</v>
      </c>
      <c r="G104">
        <v>0</v>
      </c>
      <c r="H104">
        <v>0</v>
      </c>
      <c r="I104">
        <v>0</v>
      </c>
      <c r="J104">
        <v>0</v>
      </c>
      <c r="K104" t="s">
        <v>109</v>
      </c>
      <c r="L104">
        <v>0</v>
      </c>
      <c r="M104">
        <v>0</v>
      </c>
      <c r="N104">
        <v>0</v>
      </c>
      <c r="O104">
        <v>0</v>
      </c>
    </row>
    <row r="105" spans="1:15" x14ac:dyDescent="0.35">
      <c r="A105" t="s">
        <v>108</v>
      </c>
      <c r="B105" t="s">
        <v>54</v>
      </c>
      <c r="C105" t="s">
        <v>142</v>
      </c>
      <c r="D105">
        <v>100472</v>
      </c>
      <c r="E105" t="s">
        <v>186</v>
      </c>
      <c r="F105">
        <v>0</v>
      </c>
      <c r="G105">
        <v>0</v>
      </c>
      <c r="H105">
        <v>0</v>
      </c>
      <c r="I105">
        <v>0</v>
      </c>
      <c r="J105">
        <v>0</v>
      </c>
      <c r="K105" t="s">
        <v>109</v>
      </c>
      <c r="L105">
        <v>0</v>
      </c>
      <c r="M105">
        <v>0</v>
      </c>
      <c r="N105">
        <v>0</v>
      </c>
      <c r="O105">
        <v>0</v>
      </c>
    </row>
    <row r="106" spans="1:15" x14ac:dyDescent="0.35">
      <c r="A106" t="s">
        <v>108</v>
      </c>
      <c r="B106" t="s">
        <v>54</v>
      </c>
      <c r="C106" t="s">
        <v>142</v>
      </c>
      <c r="D106">
        <v>100472</v>
      </c>
      <c r="E106" t="s">
        <v>187</v>
      </c>
      <c r="F106">
        <v>0</v>
      </c>
      <c r="G106">
        <v>0</v>
      </c>
      <c r="H106">
        <v>0</v>
      </c>
      <c r="I106">
        <v>0</v>
      </c>
      <c r="J106">
        <v>0</v>
      </c>
      <c r="K106" t="s">
        <v>109</v>
      </c>
      <c r="L106">
        <v>0</v>
      </c>
      <c r="M106">
        <v>0</v>
      </c>
      <c r="N106">
        <v>0</v>
      </c>
      <c r="O106">
        <v>0</v>
      </c>
    </row>
    <row r="107" spans="1:15" x14ac:dyDescent="0.35">
      <c r="A107" t="s">
        <v>108</v>
      </c>
      <c r="B107" t="s">
        <v>54</v>
      </c>
      <c r="C107" t="s">
        <v>142</v>
      </c>
      <c r="D107">
        <v>100472</v>
      </c>
      <c r="E107" t="s">
        <v>188</v>
      </c>
      <c r="F107">
        <v>0</v>
      </c>
      <c r="G107">
        <v>0</v>
      </c>
      <c r="H107">
        <v>0</v>
      </c>
      <c r="I107">
        <v>0</v>
      </c>
      <c r="J107">
        <v>0</v>
      </c>
      <c r="K107" t="s">
        <v>109</v>
      </c>
      <c r="L107">
        <v>0</v>
      </c>
      <c r="M107">
        <v>0</v>
      </c>
      <c r="N107">
        <v>0</v>
      </c>
      <c r="O107">
        <v>0</v>
      </c>
    </row>
    <row r="108" spans="1:15" x14ac:dyDescent="0.35">
      <c r="A108" t="s">
        <v>108</v>
      </c>
      <c r="B108" t="s">
        <v>54</v>
      </c>
      <c r="C108" t="s">
        <v>142</v>
      </c>
      <c r="D108">
        <v>100472</v>
      </c>
      <c r="E108" t="s">
        <v>189</v>
      </c>
      <c r="F108">
        <v>0</v>
      </c>
      <c r="G108">
        <v>0</v>
      </c>
      <c r="H108">
        <v>0</v>
      </c>
      <c r="I108">
        <v>0</v>
      </c>
      <c r="J108">
        <v>0</v>
      </c>
      <c r="K108" t="s">
        <v>109</v>
      </c>
      <c r="L108">
        <v>0</v>
      </c>
      <c r="M108">
        <v>0</v>
      </c>
      <c r="N108">
        <v>0</v>
      </c>
      <c r="O108">
        <v>0</v>
      </c>
    </row>
    <row r="109" spans="1:15" x14ac:dyDescent="0.35">
      <c r="A109" t="s">
        <v>108</v>
      </c>
      <c r="B109" t="s">
        <v>54</v>
      </c>
      <c r="C109" t="s">
        <v>142</v>
      </c>
      <c r="D109">
        <v>100472</v>
      </c>
      <c r="E109" t="s">
        <v>190</v>
      </c>
      <c r="F109">
        <v>0</v>
      </c>
      <c r="G109">
        <v>0</v>
      </c>
      <c r="H109">
        <v>0</v>
      </c>
      <c r="I109">
        <v>0</v>
      </c>
      <c r="J109">
        <v>0</v>
      </c>
      <c r="K109" t="s">
        <v>109</v>
      </c>
      <c r="L109">
        <v>0</v>
      </c>
      <c r="M109">
        <v>0</v>
      </c>
      <c r="N109">
        <v>0</v>
      </c>
      <c r="O109">
        <v>0</v>
      </c>
    </row>
    <row r="110" spans="1:15" x14ac:dyDescent="0.35">
      <c r="A110" t="s">
        <v>108</v>
      </c>
      <c r="B110" t="s">
        <v>54</v>
      </c>
      <c r="C110" t="s">
        <v>142</v>
      </c>
      <c r="D110">
        <v>100472</v>
      </c>
      <c r="E110" t="s">
        <v>191</v>
      </c>
      <c r="F110">
        <v>0</v>
      </c>
      <c r="G110">
        <v>0</v>
      </c>
      <c r="H110">
        <v>0</v>
      </c>
      <c r="I110">
        <v>0</v>
      </c>
      <c r="J110">
        <v>0</v>
      </c>
      <c r="K110" t="s">
        <v>109</v>
      </c>
      <c r="L110">
        <v>0</v>
      </c>
      <c r="M110">
        <v>0</v>
      </c>
      <c r="N110">
        <v>0</v>
      </c>
      <c r="O110">
        <v>0</v>
      </c>
    </row>
    <row r="111" spans="1:15" x14ac:dyDescent="0.35">
      <c r="A111" t="s">
        <v>108</v>
      </c>
      <c r="B111" t="s">
        <v>54</v>
      </c>
      <c r="C111" t="s">
        <v>142</v>
      </c>
      <c r="D111">
        <v>100472</v>
      </c>
      <c r="E111" t="s">
        <v>192</v>
      </c>
      <c r="F111">
        <v>0</v>
      </c>
      <c r="G111">
        <v>0</v>
      </c>
      <c r="H111">
        <v>0</v>
      </c>
      <c r="I111">
        <v>0</v>
      </c>
      <c r="J111">
        <v>0</v>
      </c>
      <c r="K111" t="s">
        <v>109</v>
      </c>
      <c r="L111">
        <v>0</v>
      </c>
      <c r="M111">
        <v>0</v>
      </c>
      <c r="N111">
        <v>0</v>
      </c>
      <c r="O111">
        <v>0</v>
      </c>
    </row>
    <row r="112" spans="1:15" x14ac:dyDescent="0.35">
      <c r="A112" t="s">
        <v>108</v>
      </c>
      <c r="B112" t="s">
        <v>54</v>
      </c>
      <c r="C112" t="s">
        <v>142</v>
      </c>
      <c r="D112">
        <v>100472</v>
      </c>
      <c r="E112" t="s">
        <v>193</v>
      </c>
      <c r="F112">
        <v>0</v>
      </c>
      <c r="G112">
        <v>0</v>
      </c>
      <c r="H112">
        <v>0</v>
      </c>
      <c r="I112">
        <v>0</v>
      </c>
      <c r="J112">
        <v>0</v>
      </c>
      <c r="K112" t="s">
        <v>109</v>
      </c>
      <c r="L112">
        <v>0</v>
      </c>
      <c r="M112">
        <v>0</v>
      </c>
      <c r="N112">
        <v>0</v>
      </c>
      <c r="O112">
        <v>0</v>
      </c>
    </row>
    <row r="113" spans="1:15" x14ac:dyDescent="0.35">
      <c r="A113" t="s">
        <v>108</v>
      </c>
      <c r="B113" t="s">
        <v>54</v>
      </c>
      <c r="C113" t="s">
        <v>142</v>
      </c>
      <c r="D113">
        <v>100472</v>
      </c>
      <c r="E113" t="s">
        <v>194</v>
      </c>
      <c r="F113">
        <v>0</v>
      </c>
      <c r="G113">
        <v>0</v>
      </c>
      <c r="H113">
        <v>0</v>
      </c>
      <c r="I113">
        <v>0</v>
      </c>
      <c r="J113">
        <v>0</v>
      </c>
      <c r="K113" t="s">
        <v>109</v>
      </c>
      <c r="L113">
        <v>0</v>
      </c>
      <c r="M113">
        <v>0</v>
      </c>
      <c r="N113">
        <v>0</v>
      </c>
      <c r="O113">
        <v>0</v>
      </c>
    </row>
    <row r="114" spans="1:15" x14ac:dyDescent="0.35">
      <c r="A114" t="s">
        <v>108</v>
      </c>
      <c r="B114" t="s">
        <v>54</v>
      </c>
      <c r="C114" t="s">
        <v>142</v>
      </c>
      <c r="D114">
        <v>100472</v>
      </c>
      <c r="E114" t="s">
        <v>195</v>
      </c>
      <c r="F114">
        <v>0</v>
      </c>
      <c r="G114">
        <v>0</v>
      </c>
      <c r="H114">
        <v>0</v>
      </c>
      <c r="I114">
        <v>0</v>
      </c>
      <c r="J114">
        <v>0</v>
      </c>
      <c r="K114" t="s">
        <v>109</v>
      </c>
      <c r="L114">
        <v>0</v>
      </c>
      <c r="M114">
        <v>0</v>
      </c>
      <c r="N114">
        <v>0</v>
      </c>
      <c r="O114">
        <v>0</v>
      </c>
    </row>
    <row r="115" spans="1:15" x14ac:dyDescent="0.35">
      <c r="A115" t="s">
        <v>108</v>
      </c>
      <c r="B115" t="s">
        <v>54</v>
      </c>
      <c r="C115" t="s">
        <v>142</v>
      </c>
      <c r="D115">
        <v>100472</v>
      </c>
      <c r="E115" t="s">
        <v>196</v>
      </c>
      <c r="F115">
        <v>0</v>
      </c>
      <c r="G115">
        <v>0</v>
      </c>
      <c r="H115">
        <v>0</v>
      </c>
      <c r="I115">
        <v>0</v>
      </c>
      <c r="J115">
        <v>0</v>
      </c>
      <c r="K115" t="s">
        <v>109</v>
      </c>
      <c r="L115">
        <v>0</v>
      </c>
      <c r="M115">
        <v>0</v>
      </c>
      <c r="N115">
        <v>0</v>
      </c>
      <c r="O115">
        <v>0</v>
      </c>
    </row>
    <row r="116" spans="1:15" x14ac:dyDescent="0.35">
      <c r="A116" t="s">
        <v>108</v>
      </c>
      <c r="B116" t="s">
        <v>54</v>
      </c>
      <c r="C116" t="s">
        <v>142</v>
      </c>
      <c r="D116">
        <v>100472</v>
      </c>
      <c r="E116" t="s">
        <v>197</v>
      </c>
      <c r="F116">
        <v>0</v>
      </c>
      <c r="G116">
        <v>0</v>
      </c>
      <c r="H116">
        <v>0</v>
      </c>
      <c r="I116">
        <v>0</v>
      </c>
      <c r="J116">
        <v>0</v>
      </c>
      <c r="K116" t="s">
        <v>109</v>
      </c>
      <c r="L116">
        <v>0</v>
      </c>
      <c r="M116">
        <v>0</v>
      </c>
      <c r="N116">
        <v>0</v>
      </c>
      <c r="O116">
        <v>0</v>
      </c>
    </row>
    <row r="117" spans="1:15" x14ac:dyDescent="0.35">
      <c r="A117" t="s">
        <v>108</v>
      </c>
      <c r="B117" t="s">
        <v>54</v>
      </c>
      <c r="C117" t="s">
        <v>142</v>
      </c>
      <c r="D117">
        <v>100472</v>
      </c>
      <c r="E117" t="s">
        <v>198</v>
      </c>
      <c r="F117">
        <v>0</v>
      </c>
      <c r="G117">
        <v>0</v>
      </c>
      <c r="H117">
        <v>0</v>
      </c>
      <c r="I117">
        <v>0</v>
      </c>
      <c r="J117">
        <v>0</v>
      </c>
      <c r="K117" t="s">
        <v>109</v>
      </c>
      <c r="L117">
        <v>0</v>
      </c>
      <c r="M117">
        <v>0</v>
      </c>
      <c r="N117">
        <v>0</v>
      </c>
      <c r="O117">
        <v>0</v>
      </c>
    </row>
    <row r="118" spans="1:15" x14ac:dyDescent="0.35">
      <c r="A118" t="s">
        <v>108</v>
      </c>
      <c r="B118" t="s">
        <v>54</v>
      </c>
      <c r="C118" t="s">
        <v>142</v>
      </c>
      <c r="D118">
        <v>100472</v>
      </c>
      <c r="E118" t="s">
        <v>199</v>
      </c>
      <c r="F118">
        <v>0</v>
      </c>
      <c r="G118">
        <v>0</v>
      </c>
      <c r="H118">
        <v>0</v>
      </c>
      <c r="I118">
        <v>0</v>
      </c>
      <c r="J118">
        <v>0</v>
      </c>
      <c r="K118" t="s">
        <v>109</v>
      </c>
      <c r="L118">
        <v>0</v>
      </c>
      <c r="M118">
        <v>0</v>
      </c>
      <c r="N118">
        <v>0</v>
      </c>
      <c r="O118">
        <v>0</v>
      </c>
    </row>
    <row r="119" spans="1:15" x14ac:dyDescent="0.35">
      <c r="A119" t="s">
        <v>108</v>
      </c>
      <c r="B119" t="s">
        <v>54</v>
      </c>
      <c r="C119" t="s">
        <v>142</v>
      </c>
      <c r="D119">
        <v>100472</v>
      </c>
      <c r="E119" t="s">
        <v>200</v>
      </c>
      <c r="F119">
        <v>0</v>
      </c>
      <c r="G119">
        <v>0</v>
      </c>
      <c r="H119">
        <v>0</v>
      </c>
      <c r="I119">
        <v>0</v>
      </c>
      <c r="J119">
        <v>0</v>
      </c>
      <c r="K119" t="s">
        <v>109</v>
      </c>
      <c r="L119">
        <v>0</v>
      </c>
      <c r="M119">
        <v>0</v>
      </c>
      <c r="N119">
        <v>0</v>
      </c>
      <c r="O119">
        <v>0</v>
      </c>
    </row>
    <row r="120" spans="1:15" x14ac:dyDescent="0.35">
      <c r="A120" t="s">
        <v>108</v>
      </c>
      <c r="B120" t="s">
        <v>54</v>
      </c>
      <c r="C120" t="s">
        <v>142</v>
      </c>
      <c r="D120">
        <v>100472</v>
      </c>
      <c r="E120" t="s">
        <v>201</v>
      </c>
      <c r="F120">
        <v>0</v>
      </c>
      <c r="G120">
        <v>0</v>
      </c>
      <c r="H120">
        <v>0</v>
      </c>
      <c r="I120">
        <v>0</v>
      </c>
      <c r="J120">
        <v>0</v>
      </c>
      <c r="K120" t="s">
        <v>109</v>
      </c>
      <c r="L120">
        <v>0</v>
      </c>
      <c r="M120">
        <v>0</v>
      </c>
      <c r="N120">
        <v>0</v>
      </c>
      <c r="O120">
        <v>0</v>
      </c>
    </row>
    <row r="121" spans="1:15" x14ac:dyDescent="0.35">
      <c r="A121" t="s">
        <v>108</v>
      </c>
      <c r="B121" t="s">
        <v>54</v>
      </c>
      <c r="C121" t="s">
        <v>142</v>
      </c>
      <c r="D121">
        <v>100472</v>
      </c>
      <c r="E121" t="s">
        <v>202</v>
      </c>
      <c r="F121">
        <v>0</v>
      </c>
      <c r="G121">
        <v>0</v>
      </c>
      <c r="H121">
        <v>0</v>
      </c>
      <c r="I121">
        <v>0</v>
      </c>
      <c r="J121">
        <v>0</v>
      </c>
      <c r="K121" t="s">
        <v>109</v>
      </c>
      <c r="L121">
        <v>0</v>
      </c>
      <c r="M121">
        <v>0</v>
      </c>
      <c r="N121">
        <v>0</v>
      </c>
      <c r="O121">
        <v>0</v>
      </c>
    </row>
    <row r="122" spans="1:15" x14ac:dyDescent="0.35">
      <c r="A122" t="s">
        <v>108</v>
      </c>
      <c r="B122" t="s">
        <v>54</v>
      </c>
      <c r="C122" t="s">
        <v>142</v>
      </c>
      <c r="D122">
        <v>100472</v>
      </c>
      <c r="E122" t="s">
        <v>203</v>
      </c>
      <c r="F122">
        <v>0</v>
      </c>
      <c r="G122">
        <v>0</v>
      </c>
      <c r="H122">
        <v>0</v>
      </c>
      <c r="I122">
        <v>0</v>
      </c>
      <c r="J122">
        <v>0</v>
      </c>
      <c r="K122" t="s">
        <v>109</v>
      </c>
      <c r="L122">
        <v>0</v>
      </c>
      <c r="M122">
        <v>0</v>
      </c>
      <c r="N122">
        <v>0</v>
      </c>
      <c r="O122">
        <v>0</v>
      </c>
    </row>
    <row r="123" spans="1:15" x14ac:dyDescent="0.35">
      <c r="A123" t="s">
        <v>108</v>
      </c>
      <c r="B123" t="s">
        <v>54</v>
      </c>
      <c r="C123" t="s">
        <v>142</v>
      </c>
      <c r="D123">
        <v>100472</v>
      </c>
      <c r="E123" t="s">
        <v>204</v>
      </c>
      <c r="F123">
        <v>0</v>
      </c>
      <c r="G123">
        <v>0</v>
      </c>
      <c r="H123">
        <v>0</v>
      </c>
      <c r="I123">
        <v>0</v>
      </c>
      <c r="J123">
        <v>0</v>
      </c>
      <c r="K123" t="s">
        <v>109</v>
      </c>
      <c r="L123">
        <v>0</v>
      </c>
      <c r="M123">
        <v>0</v>
      </c>
      <c r="N123">
        <v>0</v>
      </c>
      <c r="O123">
        <v>0</v>
      </c>
    </row>
    <row r="124" spans="1:15" x14ac:dyDescent="0.35">
      <c r="A124" t="s">
        <v>108</v>
      </c>
      <c r="B124" t="s">
        <v>54</v>
      </c>
      <c r="C124" t="s">
        <v>142</v>
      </c>
      <c r="D124">
        <v>100472</v>
      </c>
      <c r="E124" t="s">
        <v>205</v>
      </c>
      <c r="F124">
        <v>0</v>
      </c>
      <c r="G124">
        <v>0</v>
      </c>
      <c r="H124">
        <v>0</v>
      </c>
      <c r="I124">
        <v>0</v>
      </c>
      <c r="J124">
        <v>0</v>
      </c>
      <c r="K124" t="s">
        <v>109</v>
      </c>
      <c r="L124">
        <v>0</v>
      </c>
      <c r="M124">
        <v>0</v>
      </c>
      <c r="N124">
        <v>0</v>
      </c>
      <c r="O124">
        <v>0</v>
      </c>
    </row>
    <row r="125" spans="1:15" x14ac:dyDescent="0.35">
      <c r="A125" t="s">
        <v>108</v>
      </c>
      <c r="B125" t="s">
        <v>54</v>
      </c>
      <c r="C125" t="s">
        <v>142</v>
      </c>
      <c r="D125">
        <v>100472</v>
      </c>
      <c r="E125" t="s">
        <v>206</v>
      </c>
      <c r="F125">
        <v>0</v>
      </c>
      <c r="G125">
        <v>0</v>
      </c>
      <c r="H125">
        <v>0</v>
      </c>
      <c r="I125">
        <v>0</v>
      </c>
      <c r="J125">
        <v>0</v>
      </c>
      <c r="K125" t="s">
        <v>109</v>
      </c>
      <c r="L125">
        <v>0</v>
      </c>
      <c r="M125">
        <v>0</v>
      </c>
      <c r="N125">
        <v>0</v>
      </c>
      <c r="O125">
        <v>0</v>
      </c>
    </row>
    <row r="126" spans="1:15" x14ac:dyDescent="0.35">
      <c r="A126" t="s">
        <v>108</v>
      </c>
      <c r="B126" t="s">
        <v>54</v>
      </c>
      <c r="C126" t="s">
        <v>142</v>
      </c>
      <c r="D126">
        <v>100472</v>
      </c>
      <c r="E126" t="s">
        <v>207</v>
      </c>
      <c r="F126">
        <v>0</v>
      </c>
      <c r="G126">
        <v>0</v>
      </c>
      <c r="H126">
        <v>0</v>
      </c>
      <c r="I126">
        <v>0</v>
      </c>
      <c r="J126">
        <v>0</v>
      </c>
      <c r="K126" t="s">
        <v>109</v>
      </c>
      <c r="L126">
        <v>0</v>
      </c>
      <c r="M126">
        <v>0</v>
      </c>
      <c r="N126">
        <v>0</v>
      </c>
      <c r="O126">
        <v>0</v>
      </c>
    </row>
    <row r="127" spans="1:15" x14ac:dyDescent="0.35">
      <c r="A127" t="s">
        <v>108</v>
      </c>
      <c r="B127" t="s">
        <v>54</v>
      </c>
      <c r="C127" t="s">
        <v>142</v>
      </c>
      <c r="D127">
        <v>100472</v>
      </c>
      <c r="E127" t="s">
        <v>208</v>
      </c>
      <c r="F127">
        <v>0</v>
      </c>
      <c r="G127">
        <v>0</v>
      </c>
      <c r="H127">
        <v>0</v>
      </c>
      <c r="I127">
        <v>0</v>
      </c>
      <c r="J127">
        <v>0</v>
      </c>
      <c r="K127" t="s">
        <v>109</v>
      </c>
      <c r="L127">
        <v>0</v>
      </c>
      <c r="M127">
        <v>0</v>
      </c>
      <c r="N127">
        <v>0</v>
      </c>
      <c r="O127">
        <v>0</v>
      </c>
    </row>
    <row r="128" spans="1:15" x14ac:dyDescent="0.35">
      <c r="A128" t="s">
        <v>108</v>
      </c>
      <c r="B128" t="s">
        <v>54</v>
      </c>
      <c r="C128" t="s">
        <v>142</v>
      </c>
      <c r="D128">
        <v>100472</v>
      </c>
      <c r="E128" t="s">
        <v>209</v>
      </c>
      <c r="F128">
        <v>0</v>
      </c>
      <c r="G128">
        <v>0</v>
      </c>
      <c r="H128">
        <v>0</v>
      </c>
      <c r="I128">
        <v>0</v>
      </c>
      <c r="J128">
        <v>0</v>
      </c>
      <c r="K128" t="s">
        <v>109</v>
      </c>
      <c r="L128">
        <v>0</v>
      </c>
      <c r="M128">
        <v>0</v>
      </c>
      <c r="N128">
        <v>0</v>
      </c>
      <c r="O128">
        <v>0</v>
      </c>
    </row>
    <row r="129" spans="1:15" x14ac:dyDescent="0.35">
      <c r="A129" t="s">
        <v>108</v>
      </c>
      <c r="B129" t="s">
        <v>54</v>
      </c>
      <c r="C129" t="s">
        <v>142</v>
      </c>
      <c r="D129">
        <v>100472</v>
      </c>
      <c r="E129" t="s">
        <v>210</v>
      </c>
      <c r="F129">
        <v>0</v>
      </c>
      <c r="G129">
        <v>0</v>
      </c>
      <c r="H129">
        <v>0</v>
      </c>
      <c r="I129">
        <v>0</v>
      </c>
      <c r="J129">
        <v>0</v>
      </c>
      <c r="K129" t="s">
        <v>109</v>
      </c>
      <c r="L129">
        <v>0</v>
      </c>
      <c r="M129">
        <v>0</v>
      </c>
      <c r="N129">
        <v>0</v>
      </c>
      <c r="O129">
        <v>0</v>
      </c>
    </row>
    <row r="130" spans="1:15" x14ac:dyDescent="0.35">
      <c r="A130" t="s">
        <v>108</v>
      </c>
      <c r="B130" t="s">
        <v>54</v>
      </c>
      <c r="C130" t="s">
        <v>142</v>
      </c>
      <c r="D130">
        <v>100472</v>
      </c>
      <c r="E130" t="s">
        <v>211</v>
      </c>
      <c r="F130">
        <v>0</v>
      </c>
      <c r="G130">
        <v>0</v>
      </c>
      <c r="H130">
        <v>0</v>
      </c>
      <c r="I130">
        <v>0</v>
      </c>
      <c r="J130">
        <v>0</v>
      </c>
      <c r="K130" t="s">
        <v>109</v>
      </c>
      <c r="L130">
        <v>0</v>
      </c>
      <c r="M130">
        <v>0</v>
      </c>
      <c r="N130">
        <v>0</v>
      </c>
      <c r="O130">
        <v>0</v>
      </c>
    </row>
    <row r="131" spans="1:15" x14ac:dyDescent="0.35">
      <c r="A131" t="s">
        <v>108</v>
      </c>
      <c r="B131" t="s">
        <v>54</v>
      </c>
      <c r="C131" t="s">
        <v>142</v>
      </c>
      <c r="D131">
        <v>100472</v>
      </c>
      <c r="E131" t="s">
        <v>212</v>
      </c>
      <c r="F131">
        <v>0</v>
      </c>
      <c r="G131">
        <v>0</v>
      </c>
      <c r="H131">
        <v>0</v>
      </c>
      <c r="I131">
        <v>0</v>
      </c>
      <c r="J131">
        <v>0</v>
      </c>
      <c r="K131" t="s">
        <v>109</v>
      </c>
      <c r="L131">
        <v>0</v>
      </c>
      <c r="M131">
        <v>0</v>
      </c>
      <c r="N131">
        <v>0</v>
      </c>
      <c r="O131">
        <v>0</v>
      </c>
    </row>
    <row r="132" spans="1:15" x14ac:dyDescent="0.35">
      <c r="A132" t="s">
        <v>108</v>
      </c>
      <c r="B132" t="s">
        <v>54</v>
      </c>
      <c r="C132" t="s">
        <v>26</v>
      </c>
      <c r="D132">
        <v>100463</v>
      </c>
      <c r="F132">
        <v>0</v>
      </c>
      <c r="G132">
        <v>0</v>
      </c>
      <c r="H132">
        <v>0</v>
      </c>
      <c r="I132">
        <v>0</v>
      </c>
      <c r="J132">
        <v>0</v>
      </c>
      <c r="K132" t="s">
        <v>109</v>
      </c>
      <c r="L132">
        <v>0</v>
      </c>
      <c r="M132">
        <v>0</v>
      </c>
      <c r="N132">
        <v>0</v>
      </c>
      <c r="O132">
        <v>0</v>
      </c>
    </row>
    <row r="133" spans="1:15" x14ac:dyDescent="0.35">
      <c r="A133" t="s">
        <v>108</v>
      </c>
      <c r="B133" t="s">
        <v>54</v>
      </c>
      <c r="C133" t="s">
        <v>10</v>
      </c>
      <c r="D133">
        <v>100411</v>
      </c>
      <c r="F133">
        <v>0</v>
      </c>
      <c r="G133">
        <v>0</v>
      </c>
      <c r="H133">
        <v>7.05277777777777</v>
      </c>
      <c r="I133">
        <v>0</v>
      </c>
      <c r="J133">
        <v>0</v>
      </c>
      <c r="K133" t="s">
        <v>109</v>
      </c>
      <c r="L133">
        <v>0</v>
      </c>
      <c r="M133">
        <v>0</v>
      </c>
      <c r="N133">
        <v>0</v>
      </c>
      <c r="O133">
        <v>-7.05277777777777</v>
      </c>
    </row>
    <row r="134" spans="1:15" x14ac:dyDescent="0.35">
      <c r="A134" t="s">
        <v>108</v>
      </c>
      <c r="B134" t="s">
        <v>54</v>
      </c>
      <c r="C134" t="s">
        <v>11</v>
      </c>
      <c r="D134">
        <v>100410</v>
      </c>
      <c r="F134">
        <v>0</v>
      </c>
      <c r="G134">
        <v>0</v>
      </c>
      <c r="H134">
        <v>13.6</v>
      </c>
      <c r="I134">
        <v>0</v>
      </c>
      <c r="J134">
        <v>0</v>
      </c>
      <c r="K134" t="s">
        <v>109</v>
      </c>
      <c r="L134">
        <v>0</v>
      </c>
      <c r="M134">
        <v>0</v>
      </c>
      <c r="N134">
        <v>0</v>
      </c>
      <c r="O134">
        <v>-13.6</v>
      </c>
    </row>
    <row r="135" spans="1:15" x14ac:dyDescent="0.35">
      <c r="A135" t="s">
        <v>108</v>
      </c>
      <c r="B135" t="s">
        <v>54</v>
      </c>
      <c r="C135" t="s">
        <v>12</v>
      </c>
      <c r="D135">
        <v>100412</v>
      </c>
      <c r="F135">
        <v>0</v>
      </c>
      <c r="G135">
        <v>0</v>
      </c>
      <c r="H135">
        <v>21.404999999999902</v>
      </c>
      <c r="I135">
        <v>0</v>
      </c>
      <c r="J135">
        <v>0</v>
      </c>
      <c r="K135" t="s">
        <v>5</v>
      </c>
      <c r="L135">
        <v>0</v>
      </c>
      <c r="M135">
        <v>0.79625000000000001</v>
      </c>
      <c r="N135">
        <v>3.71992525110955</v>
      </c>
      <c r="O135">
        <v>-20.608749999999901</v>
      </c>
    </row>
    <row r="136" spans="1:15" x14ac:dyDescent="0.35">
      <c r="A136" t="s">
        <v>108</v>
      </c>
      <c r="B136" t="s">
        <v>54</v>
      </c>
      <c r="C136" t="s">
        <v>62</v>
      </c>
      <c r="D136">
        <v>100462</v>
      </c>
      <c r="F136">
        <v>0</v>
      </c>
      <c r="G136">
        <v>0</v>
      </c>
      <c r="H136">
        <v>22.5697222222222</v>
      </c>
      <c r="I136">
        <v>0</v>
      </c>
      <c r="J136">
        <v>0</v>
      </c>
      <c r="K136" t="s">
        <v>109</v>
      </c>
      <c r="L136">
        <v>0</v>
      </c>
      <c r="M136">
        <v>0</v>
      </c>
      <c r="N136">
        <v>0</v>
      </c>
      <c r="O136">
        <v>-22.5697222222222</v>
      </c>
    </row>
    <row r="137" spans="1:15" x14ac:dyDescent="0.35">
      <c r="A137" t="s">
        <v>108</v>
      </c>
      <c r="B137" t="s">
        <v>55</v>
      </c>
      <c r="C137" t="s">
        <v>63</v>
      </c>
      <c r="D137">
        <v>100464</v>
      </c>
      <c r="F137">
        <v>0</v>
      </c>
      <c r="G137">
        <v>0</v>
      </c>
      <c r="H137">
        <v>10.282777777777699</v>
      </c>
      <c r="I137">
        <v>0</v>
      </c>
      <c r="J137">
        <v>0</v>
      </c>
      <c r="K137" t="s">
        <v>109</v>
      </c>
      <c r="L137">
        <v>0</v>
      </c>
      <c r="M137">
        <v>0</v>
      </c>
      <c r="N137">
        <v>0</v>
      </c>
      <c r="O137">
        <v>-10.282777777777699</v>
      </c>
    </row>
    <row r="138" spans="1:15" x14ac:dyDescent="0.35">
      <c r="A138" t="s">
        <v>108</v>
      </c>
      <c r="B138" t="s">
        <v>55</v>
      </c>
      <c r="C138" t="s">
        <v>16</v>
      </c>
      <c r="D138">
        <v>100465</v>
      </c>
      <c r="F138">
        <v>0</v>
      </c>
      <c r="G138">
        <v>0</v>
      </c>
      <c r="H138">
        <v>5.75</v>
      </c>
      <c r="I138">
        <v>0</v>
      </c>
      <c r="J138">
        <v>0</v>
      </c>
      <c r="K138" t="s">
        <v>109</v>
      </c>
      <c r="L138">
        <v>0</v>
      </c>
      <c r="M138">
        <v>0</v>
      </c>
      <c r="N138">
        <v>0</v>
      </c>
      <c r="O138">
        <v>-5.75</v>
      </c>
    </row>
    <row r="139" spans="1:15" x14ac:dyDescent="0.35">
      <c r="A139" t="s">
        <v>0</v>
      </c>
      <c r="B139" t="s">
        <v>0</v>
      </c>
      <c r="C139" t="s">
        <v>64</v>
      </c>
      <c r="D139">
        <v>100426</v>
      </c>
      <c r="F139">
        <v>0</v>
      </c>
      <c r="G139">
        <v>0</v>
      </c>
      <c r="H139">
        <v>0</v>
      </c>
      <c r="I139">
        <v>0</v>
      </c>
      <c r="J139">
        <v>0</v>
      </c>
      <c r="K139" t="s">
        <v>5</v>
      </c>
      <c r="L139">
        <v>0</v>
      </c>
      <c r="M139">
        <v>0.97749999999999904</v>
      </c>
      <c r="N139">
        <v>0</v>
      </c>
      <c r="O139">
        <v>0.97749999999999904</v>
      </c>
    </row>
    <row r="140" spans="1:15" x14ac:dyDescent="0.35">
      <c r="A140" t="s">
        <v>56</v>
      </c>
      <c r="B140" t="s">
        <v>56</v>
      </c>
      <c r="C140" t="s">
        <v>65</v>
      </c>
      <c r="D140">
        <v>100427</v>
      </c>
      <c r="F140">
        <v>0</v>
      </c>
      <c r="G140">
        <v>0</v>
      </c>
      <c r="H140">
        <v>4.3333333333333304</v>
      </c>
      <c r="I140">
        <v>0</v>
      </c>
      <c r="J140">
        <v>0</v>
      </c>
      <c r="K140" t="s">
        <v>5</v>
      </c>
      <c r="L140">
        <v>0</v>
      </c>
      <c r="M140">
        <v>1.4225000000000001</v>
      </c>
      <c r="N140">
        <v>32.826923076923002</v>
      </c>
      <c r="O140">
        <v>-2.9108333333333301</v>
      </c>
    </row>
    <row r="141" spans="1:15" x14ac:dyDescent="0.35">
      <c r="A141" t="s">
        <v>56</v>
      </c>
      <c r="B141" t="s">
        <v>56</v>
      </c>
      <c r="C141" t="s">
        <v>66</v>
      </c>
      <c r="D141">
        <v>100428</v>
      </c>
      <c r="F141">
        <v>0</v>
      </c>
      <c r="G141">
        <v>0</v>
      </c>
      <c r="H141">
        <v>15.5</v>
      </c>
      <c r="I141">
        <v>0</v>
      </c>
      <c r="J141">
        <v>0</v>
      </c>
      <c r="K141" t="s">
        <v>5</v>
      </c>
      <c r="L141">
        <v>0</v>
      </c>
      <c r="M141">
        <v>7.3749999999999996E-2</v>
      </c>
      <c r="N141">
        <v>0.47580645161290303</v>
      </c>
      <c r="O141">
        <v>-15.42625</v>
      </c>
    </row>
    <row r="142" spans="1:15" x14ac:dyDescent="0.35">
      <c r="A142" t="s">
        <v>56</v>
      </c>
      <c r="B142" t="s">
        <v>56</v>
      </c>
      <c r="C142" t="s">
        <v>31</v>
      </c>
      <c r="D142">
        <v>100429</v>
      </c>
      <c r="F142">
        <v>0</v>
      </c>
      <c r="G142">
        <v>0</v>
      </c>
      <c r="H142">
        <v>3.85</v>
      </c>
      <c r="I142">
        <v>0</v>
      </c>
      <c r="J142">
        <v>0</v>
      </c>
      <c r="K142" t="s">
        <v>5</v>
      </c>
      <c r="L142">
        <v>0</v>
      </c>
      <c r="M142">
        <v>0.85499999999999998</v>
      </c>
      <c r="N142">
        <v>22.207792207792199</v>
      </c>
      <c r="O142">
        <v>-2.9950000000000001</v>
      </c>
    </row>
    <row r="143" spans="1:15" x14ac:dyDescent="0.35">
      <c r="A143" t="s">
        <v>56</v>
      </c>
      <c r="B143" t="s">
        <v>56</v>
      </c>
      <c r="C143" t="s">
        <v>67</v>
      </c>
      <c r="D143">
        <v>100466</v>
      </c>
      <c r="F143">
        <v>0</v>
      </c>
      <c r="G143">
        <v>0</v>
      </c>
      <c r="H143">
        <v>0.75</v>
      </c>
      <c r="I143">
        <v>0</v>
      </c>
      <c r="J143">
        <v>0</v>
      </c>
      <c r="K143" t="s">
        <v>109</v>
      </c>
      <c r="L143">
        <v>0</v>
      </c>
      <c r="M143">
        <v>0</v>
      </c>
      <c r="N143">
        <v>0</v>
      </c>
      <c r="O143">
        <v>-0.75</v>
      </c>
    </row>
    <row r="144" spans="1:15" x14ac:dyDescent="0.35">
      <c r="A144" t="s">
        <v>57</v>
      </c>
      <c r="B144" t="s">
        <v>57</v>
      </c>
      <c r="C144" t="s">
        <v>68</v>
      </c>
      <c r="D144">
        <v>100467</v>
      </c>
      <c r="F144">
        <v>0</v>
      </c>
      <c r="G144">
        <v>0</v>
      </c>
      <c r="H144">
        <v>0</v>
      </c>
      <c r="I144">
        <v>0</v>
      </c>
      <c r="J144">
        <v>0</v>
      </c>
      <c r="K144" t="s">
        <v>109</v>
      </c>
      <c r="L144">
        <v>0</v>
      </c>
      <c r="M144">
        <v>0</v>
      </c>
      <c r="N144">
        <v>0</v>
      </c>
      <c r="O144">
        <v>0</v>
      </c>
    </row>
    <row r="145" spans="1:15" x14ac:dyDescent="0.35">
      <c r="A145" t="s">
        <v>57</v>
      </c>
      <c r="B145" t="s">
        <v>57</v>
      </c>
      <c r="C145" t="s">
        <v>69</v>
      </c>
      <c r="D145">
        <v>100468</v>
      </c>
      <c r="F145">
        <v>0</v>
      </c>
      <c r="G145">
        <v>0</v>
      </c>
      <c r="H145">
        <v>0</v>
      </c>
      <c r="I145">
        <v>0</v>
      </c>
      <c r="J145">
        <v>0</v>
      </c>
      <c r="K145" t="s">
        <v>109</v>
      </c>
      <c r="L145">
        <v>0</v>
      </c>
      <c r="M145">
        <v>0</v>
      </c>
      <c r="N145">
        <v>0</v>
      </c>
      <c r="O145">
        <v>0</v>
      </c>
    </row>
    <row r="146" spans="1:15" x14ac:dyDescent="0.35">
      <c r="A146" t="s">
        <v>57</v>
      </c>
      <c r="B146" t="s">
        <v>57</v>
      </c>
      <c r="C146" t="s">
        <v>70</v>
      </c>
      <c r="D146">
        <v>100469</v>
      </c>
      <c r="F146">
        <v>0</v>
      </c>
      <c r="G146">
        <v>0</v>
      </c>
      <c r="H146">
        <v>3</v>
      </c>
      <c r="I146">
        <v>0</v>
      </c>
      <c r="J146">
        <v>0</v>
      </c>
      <c r="K146" t="s">
        <v>109</v>
      </c>
      <c r="L146">
        <v>0</v>
      </c>
      <c r="M146">
        <v>0</v>
      </c>
      <c r="N146">
        <v>0</v>
      </c>
      <c r="O146">
        <v>-3</v>
      </c>
    </row>
    <row r="147" spans="1:15" x14ac:dyDescent="0.35">
      <c r="A147" t="s">
        <v>58</v>
      </c>
      <c r="B147" t="s">
        <v>58</v>
      </c>
      <c r="C147" t="s">
        <v>71</v>
      </c>
      <c r="D147">
        <v>100453</v>
      </c>
      <c r="F147">
        <v>0</v>
      </c>
      <c r="G147">
        <v>0</v>
      </c>
      <c r="H147">
        <v>3</v>
      </c>
      <c r="I147">
        <v>0</v>
      </c>
      <c r="J147">
        <v>0</v>
      </c>
      <c r="K147" t="s">
        <v>109</v>
      </c>
      <c r="L147">
        <v>0</v>
      </c>
      <c r="M147">
        <v>0</v>
      </c>
      <c r="N147">
        <v>0</v>
      </c>
      <c r="O147">
        <v>-3</v>
      </c>
    </row>
    <row r="148" spans="1:15" x14ac:dyDescent="0.35">
      <c r="A148" t="s">
        <v>58</v>
      </c>
      <c r="B148" t="s">
        <v>58</v>
      </c>
      <c r="C148" t="s">
        <v>72</v>
      </c>
      <c r="D148">
        <v>100454</v>
      </c>
      <c r="F148">
        <v>0</v>
      </c>
      <c r="G148">
        <v>0</v>
      </c>
      <c r="H148">
        <v>7.7116666666666598</v>
      </c>
      <c r="I148">
        <v>0</v>
      </c>
      <c r="J148">
        <v>0</v>
      </c>
      <c r="K148" t="s">
        <v>109</v>
      </c>
      <c r="L148">
        <v>0</v>
      </c>
      <c r="M148">
        <v>0</v>
      </c>
      <c r="N148">
        <v>0</v>
      </c>
      <c r="O148">
        <v>-7.7116666666666598</v>
      </c>
    </row>
    <row r="149" spans="1:15" x14ac:dyDescent="0.35">
      <c r="A149" t="s">
        <v>59</v>
      </c>
      <c r="B149" t="s">
        <v>59</v>
      </c>
      <c r="C149" t="s">
        <v>73</v>
      </c>
      <c r="D149">
        <v>100436</v>
      </c>
      <c r="F149">
        <v>0</v>
      </c>
      <c r="G149">
        <v>0</v>
      </c>
      <c r="H149">
        <v>0</v>
      </c>
      <c r="I149">
        <v>0</v>
      </c>
      <c r="J149">
        <v>0</v>
      </c>
      <c r="K149" t="s">
        <v>109</v>
      </c>
      <c r="L149">
        <v>0</v>
      </c>
      <c r="M149">
        <v>0</v>
      </c>
      <c r="N149">
        <v>0</v>
      </c>
      <c r="O149">
        <v>0</v>
      </c>
    </row>
    <row r="150" spans="1:15" x14ac:dyDescent="0.35">
      <c r="A150" t="s">
        <v>59</v>
      </c>
      <c r="B150" t="s">
        <v>59</v>
      </c>
      <c r="C150" t="s">
        <v>74</v>
      </c>
      <c r="D150">
        <v>100470</v>
      </c>
      <c r="F150">
        <v>0</v>
      </c>
      <c r="G150">
        <v>0</v>
      </c>
      <c r="H150">
        <v>0.5</v>
      </c>
      <c r="I150">
        <v>0</v>
      </c>
      <c r="J150">
        <v>0</v>
      </c>
      <c r="K150" t="s">
        <v>109</v>
      </c>
      <c r="L150">
        <v>0</v>
      </c>
      <c r="M150">
        <v>0</v>
      </c>
      <c r="N150">
        <v>0</v>
      </c>
      <c r="O150">
        <v>-0.5</v>
      </c>
    </row>
    <row r="151" spans="1:15" x14ac:dyDescent="0.35">
      <c r="A151" t="s">
        <v>59</v>
      </c>
      <c r="B151" t="s">
        <v>59</v>
      </c>
      <c r="C151" t="s">
        <v>75</v>
      </c>
      <c r="D151">
        <v>100439</v>
      </c>
      <c r="F151">
        <v>0</v>
      </c>
      <c r="G151">
        <v>0</v>
      </c>
      <c r="H151">
        <v>0</v>
      </c>
      <c r="I151">
        <v>0</v>
      </c>
      <c r="J151">
        <v>0</v>
      </c>
      <c r="K151" t="s">
        <v>109</v>
      </c>
      <c r="L151">
        <v>0</v>
      </c>
      <c r="M151">
        <v>0</v>
      </c>
      <c r="N151">
        <v>0</v>
      </c>
      <c r="O151">
        <v>0</v>
      </c>
    </row>
    <row r="152" spans="1:15" x14ac:dyDescent="0.35">
      <c r="A152" t="s">
        <v>213</v>
      </c>
      <c r="B152" t="s">
        <v>213</v>
      </c>
      <c r="C152" t="s">
        <v>214</v>
      </c>
      <c r="D152">
        <v>100471</v>
      </c>
      <c r="E152" t="s">
        <v>143</v>
      </c>
      <c r="F152">
        <v>0</v>
      </c>
      <c r="G152">
        <v>0</v>
      </c>
      <c r="H152">
        <v>0</v>
      </c>
      <c r="I152">
        <v>0</v>
      </c>
      <c r="J152">
        <v>0</v>
      </c>
      <c r="K152" t="s">
        <v>109</v>
      </c>
      <c r="L152">
        <v>0</v>
      </c>
      <c r="M152">
        <v>0</v>
      </c>
      <c r="N152">
        <v>0</v>
      </c>
      <c r="O152">
        <v>0</v>
      </c>
    </row>
    <row r="153" spans="1:15" x14ac:dyDescent="0.35">
      <c r="A153" t="s">
        <v>213</v>
      </c>
      <c r="B153" t="s">
        <v>213</v>
      </c>
      <c r="C153" t="s">
        <v>214</v>
      </c>
      <c r="D153">
        <v>100471</v>
      </c>
      <c r="E153" t="s">
        <v>144</v>
      </c>
      <c r="F153">
        <v>0</v>
      </c>
      <c r="G153">
        <v>0</v>
      </c>
      <c r="H153">
        <v>0</v>
      </c>
      <c r="I153">
        <v>0</v>
      </c>
      <c r="J153">
        <v>0</v>
      </c>
      <c r="K153" t="s">
        <v>109</v>
      </c>
      <c r="L153">
        <v>0</v>
      </c>
      <c r="M153">
        <v>0</v>
      </c>
      <c r="N153">
        <v>0</v>
      </c>
      <c r="O153">
        <v>0</v>
      </c>
    </row>
    <row r="154" spans="1:15" x14ac:dyDescent="0.35">
      <c r="A154" t="s">
        <v>213</v>
      </c>
      <c r="B154" t="s">
        <v>213</v>
      </c>
      <c r="C154" t="s">
        <v>214</v>
      </c>
      <c r="D154">
        <v>100471</v>
      </c>
      <c r="E154" t="s">
        <v>145</v>
      </c>
      <c r="F154">
        <v>0</v>
      </c>
      <c r="G154">
        <v>0</v>
      </c>
      <c r="H154">
        <v>0</v>
      </c>
      <c r="I154">
        <v>0</v>
      </c>
      <c r="J154">
        <v>0</v>
      </c>
      <c r="K154" t="s">
        <v>109</v>
      </c>
      <c r="L154">
        <v>0</v>
      </c>
      <c r="M154">
        <v>0</v>
      </c>
      <c r="N154">
        <v>0</v>
      </c>
      <c r="O154">
        <v>0</v>
      </c>
    </row>
    <row r="155" spans="1:15" x14ac:dyDescent="0.35">
      <c r="A155" t="s">
        <v>213</v>
      </c>
      <c r="B155" t="s">
        <v>213</v>
      </c>
      <c r="C155" t="s">
        <v>214</v>
      </c>
      <c r="D155">
        <v>100471</v>
      </c>
      <c r="E155" t="s">
        <v>146</v>
      </c>
      <c r="F155">
        <v>0</v>
      </c>
      <c r="G155">
        <v>0</v>
      </c>
      <c r="H155">
        <v>0</v>
      </c>
      <c r="I155">
        <v>0</v>
      </c>
      <c r="J155">
        <v>0</v>
      </c>
      <c r="K155" t="s">
        <v>109</v>
      </c>
      <c r="L155">
        <v>0</v>
      </c>
      <c r="M155">
        <v>0</v>
      </c>
      <c r="N155">
        <v>0</v>
      </c>
      <c r="O155">
        <v>0</v>
      </c>
    </row>
    <row r="156" spans="1:15" x14ac:dyDescent="0.35">
      <c r="A156" t="s">
        <v>213</v>
      </c>
      <c r="B156" t="s">
        <v>213</v>
      </c>
      <c r="C156" t="s">
        <v>214</v>
      </c>
      <c r="D156">
        <v>100471</v>
      </c>
      <c r="E156" t="s">
        <v>147</v>
      </c>
      <c r="F156">
        <v>0</v>
      </c>
      <c r="G156">
        <v>0</v>
      </c>
      <c r="H156">
        <v>0</v>
      </c>
      <c r="I156">
        <v>0</v>
      </c>
      <c r="J156">
        <v>0</v>
      </c>
      <c r="K156" t="s">
        <v>109</v>
      </c>
      <c r="L156">
        <v>0</v>
      </c>
      <c r="M156">
        <v>0</v>
      </c>
      <c r="N156">
        <v>0</v>
      </c>
      <c r="O156">
        <v>0</v>
      </c>
    </row>
    <row r="157" spans="1:15" x14ac:dyDescent="0.35">
      <c r="A157" t="s">
        <v>213</v>
      </c>
      <c r="B157" t="s">
        <v>213</v>
      </c>
      <c r="C157" t="s">
        <v>214</v>
      </c>
      <c r="D157">
        <v>100471</v>
      </c>
      <c r="E157" t="s">
        <v>148</v>
      </c>
      <c r="F157">
        <v>0</v>
      </c>
      <c r="G157">
        <v>0</v>
      </c>
      <c r="H157">
        <v>0</v>
      </c>
      <c r="I157">
        <v>0</v>
      </c>
      <c r="J157">
        <v>0</v>
      </c>
      <c r="K157" t="s">
        <v>109</v>
      </c>
      <c r="L157">
        <v>0</v>
      </c>
      <c r="M157">
        <v>0</v>
      </c>
      <c r="N157">
        <v>0</v>
      </c>
      <c r="O157">
        <v>0</v>
      </c>
    </row>
    <row r="158" spans="1:15" x14ac:dyDescent="0.35">
      <c r="A158" t="s">
        <v>213</v>
      </c>
      <c r="B158" t="s">
        <v>213</v>
      </c>
      <c r="C158" t="s">
        <v>214</v>
      </c>
      <c r="D158">
        <v>100471</v>
      </c>
      <c r="E158" t="s">
        <v>149</v>
      </c>
      <c r="F158">
        <v>0</v>
      </c>
      <c r="G158">
        <v>0</v>
      </c>
      <c r="H158">
        <v>0</v>
      </c>
      <c r="I158">
        <v>0</v>
      </c>
      <c r="J158">
        <v>0</v>
      </c>
      <c r="K158" t="s">
        <v>109</v>
      </c>
      <c r="L158">
        <v>0</v>
      </c>
      <c r="M158">
        <v>0</v>
      </c>
      <c r="N158">
        <v>0</v>
      </c>
      <c r="O158">
        <v>0</v>
      </c>
    </row>
    <row r="159" spans="1:15" x14ac:dyDescent="0.35">
      <c r="A159" t="s">
        <v>213</v>
      </c>
      <c r="B159" t="s">
        <v>213</v>
      </c>
      <c r="C159" t="s">
        <v>214</v>
      </c>
      <c r="D159">
        <v>100471</v>
      </c>
      <c r="E159" t="s">
        <v>150</v>
      </c>
      <c r="F159">
        <v>0</v>
      </c>
      <c r="G159">
        <v>0</v>
      </c>
      <c r="H159">
        <v>0</v>
      </c>
      <c r="I159">
        <v>0</v>
      </c>
      <c r="J159">
        <v>0</v>
      </c>
      <c r="K159" t="s">
        <v>109</v>
      </c>
      <c r="L159">
        <v>0</v>
      </c>
      <c r="M159">
        <v>0</v>
      </c>
      <c r="N159">
        <v>0</v>
      </c>
      <c r="O159">
        <v>0</v>
      </c>
    </row>
    <row r="160" spans="1:15" x14ac:dyDescent="0.35">
      <c r="A160" t="s">
        <v>213</v>
      </c>
      <c r="B160" t="s">
        <v>213</v>
      </c>
      <c r="C160" t="s">
        <v>214</v>
      </c>
      <c r="D160">
        <v>100471</v>
      </c>
      <c r="E160" t="s">
        <v>151</v>
      </c>
      <c r="F160">
        <v>0</v>
      </c>
      <c r="G160">
        <v>0</v>
      </c>
      <c r="H160">
        <v>0</v>
      </c>
      <c r="I160">
        <v>0</v>
      </c>
      <c r="J160">
        <v>0</v>
      </c>
      <c r="K160" t="s">
        <v>109</v>
      </c>
      <c r="L160">
        <v>0</v>
      </c>
      <c r="M160">
        <v>0</v>
      </c>
      <c r="N160">
        <v>0</v>
      </c>
      <c r="O160">
        <v>0</v>
      </c>
    </row>
    <row r="161" spans="1:15" x14ac:dyDescent="0.35">
      <c r="A161" t="s">
        <v>213</v>
      </c>
      <c r="B161" t="s">
        <v>213</v>
      </c>
      <c r="C161" t="s">
        <v>214</v>
      </c>
      <c r="D161">
        <v>100471</v>
      </c>
      <c r="E161" t="s">
        <v>152</v>
      </c>
      <c r="F161">
        <v>0</v>
      </c>
      <c r="G161">
        <v>0</v>
      </c>
      <c r="H161">
        <v>0</v>
      </c>
      <c r="I161">
        <v>0</v>
      </c>
      <c r="J161">
        <v>0</v>
      </c>
      <c r="K161" t="s">
        <v>109</v>
      </c>
      <c r="L161">
        <v>0</v>
      </c>
      <c r="M161">
        <v>0</v>
      </c>
      <c r="N161">
        <v>0</v>
      </c>
      <c r="O161">
        <v>0</v>
      </c>
    </row>
    <row r="162" spans="1:15" x14ac:dyDescent="0.35">
      <c r="A162" t="s">
        <v>213</v>
      </c>
      <c r="B162" t="s">
        <v>213</v>
      </c>
      <c r="C162" t="s">
        <v>214</v>
      </c>
      <c r="D162">
        <v>100471</v>
      </c>
      <c r="E162" t="s">
        <v>153</v>
      </c>
      <c r="F162">
        <v>0</v>
      </c>
      <c r="G162">
        <v>0</v>
      </c>
      <c r="H162">
        <v>0</v>
      </c>
      <c r="I162">
        <v>0</v>
      </c>
      <c r="J162">
        <v>0</v>
      </c>
      <c r="K162" t="s">
        <v>109</v>
      </c>
      <c r="L162">
        <v>0</v>
      </c>
      <c r="M162">
        <v>0</v>
      </c>
      <c r="N162">
        <v>0</v>
      </c>
      <c r="O162">
        <v>0</v>
      </c>
    </row>
    <row r="163" spans="1:15" x14ac:dyDescent="0.35">
      <c r="A163" t="s">
        <v>213</v>
      </c>
      <c r="B163" t="s">
        <v>213</v>
      </c>
      <c r="C163" t="s">
        <v>214</v>
      </c>
      <c r="D163">
        <v>100471</v>
      </c>
      <c r="E163" t="s">
        <v>154</v>
      </c>
      <c r="F163">
        <v>0</v>
      </c>
      <c r="G163">
        <v>0</v>
      </c>
      <c r="H163">
        <v>0</v>
      </c>
      <c r="I163">
        <v>0</v>
      </c>
      <c r="J163">
        <v>0</v>
      </c>
      <c r="K163" t="s">
        <v>109</v>
      </c>
      <c r="L163">
        <v>0</v>
      </c>
      <c r="M163">
        <v>0</v>
      </c>
      <c r="N163">
        <v>0</v>
      </c>
      <c r="O163">
        <v>0</v>
      </c>
    </row>
    <row r="164" spans="1:15" x14ac:dyDescent="0.35">
      <c r="A164" t="s">
        <v>213</v>
      </c>
      <c r="B164" t="s">
        <v>213</v>
      </c>
      <c r="C164" t="s">
        <v>214</v>
      </c>
      <c r="D164">
        <v>100471</v>
      </c>
      <c r="E164" t="s">
        <v>155</v>
      </c>
      <c r="F164">
        <v>0</v>
      </c>
      <c r="G164">
        <v>0</v>
      </c>
      <c r="H164">
        <v>0</v>
      </c>
      <c r="I164">
        <v>0</v>
      </c>
      <c r="J164">
        <v>0</v>
      </c>
      <c r="K164" t="s">
        <v>109</v>
      </c>
      <c r="L164">
        <v>0</v>
      </c>
      <c r="M164">
        <v>0</v>
      </c>
      <c r="N164">
        <v>0</v>
      </c>
      <c r="O164">
        <v>0</v>
      </c>
    </row>
    <row r="165" spans="1:15" x14ac:dyDescent="0.35">
      <c r="A165" t="s">
        <v>213</v>
      </c>
      <c r="B165" t="s">
        <v>213</v>
      </c>
      <c r="C165" t="s">
        <v>214</v>
      </c>
      <c r="D165">
        <v>100471</v>
      </c>
      <c r="E165" t="s">
        <v>156</v>
      </c>
      <c r="F165">
        <v>0</v>
      </c>
      <c r="G165">
        <v>0</v>
      </c>
      <c r="H165">
        <v>0</v>
      </c>
      <c r="I165">
        <v>0</v>
      </c>
      <c r="J165">
        <v>0</v>
      </c>
      <c r="K165" t="s">
        <v>109</v>
      </c>
      <c r="L165">
        <v>0</v>
      </c>
      <c r="M165">
        <v>0</v>
      </c>
      <c r="N165">
        <v>0</v>
      </c>
      <c r="O165">
        <v>0</v>
      </c>
    </row>
    <row r="166" spans="1:15" x14ac:dyDescent="0.35">
      <c r="A166" t="s">
        <v>213</v>
      </c>
      <c r="B166" t="s">
        <v>213</v>
      </c>
      <c r="C166" t="s">
        <v>214</v>
      </c>
      <c r="D166">
        <v>100471</v>
      </c>
      <c r="E166" t="s">
        <v>157</v>
      </c>
      <c r="F166">
        <v>0</v>
      </c>
      <c r="G166">
        <v>0</v>
      </c>
      <c r="H166">
        <v>0</v>
      </c>
      <c r="I166">
        <v>0</v>
      </c>
      <c r="J166">
        <v>0</v>
      </c>
      <c r="K166" t="s">
        <v>109</v>
      </c>
      <c r="L166">
        <v>0</v>
      </c>
      <c r="M166">
        <v>0</v>
      </c>
      <c r="N166">
        <v>0</v>
      </c>
      <c r="O166">
        <v>0</v>
      </c>
    </row>
    <row r="167" spans="1:15" x14ac:dyDescent="0.35">
      <c r="A167" t="s">
        <v>213</v>
      </c>
      <c r="B167" t="s">
        <v>213</v>
      </c>
      <c r="C167" t="s">
        <v>214</v>
      </c>
      <c r="D167">
        <v>100471</v>
      </c>
      <c r="E167" t="s">
        <v>158</v>
      </c>
      <c r="F167">
        <v>0</v>
      </c>
      <c r="G167">
        <v>0</v>
      </c>
      <c r="H167">
        <v>0</v>
      </c>
      <c r="I167">
        <v>0</v>
      </c>
      <c r="J167">
        <v>0</v>
      </c>
      <c r="K167" t="s">
        <v>109</v>
      </c>
      <c r="L167">
        <v>0</v>
      </c>
      <c r="M167">
        <v>0</v>
      </c>
      <c r="N167">
        <v>0</v>
      </c>
      <c r="O167">
        <v>0</v>
      </c>
    </row>
    <row r="168" spans="1:15" x14ac:dyDescent="0.35">
      <c r="A168" t="s">
        <v>213</v>
      </c>
      <c r="B168" t="s">
        <v>213</v>
      </c>
      <c r="C168" t="s">
        <v>214</v>
      </c>
      <c r="D168">
        <v>100471</v>
      </c>
      <c r="E168" t="s">
        <v>159</v>
      </c>
      <c r="F168">
        <v>0</v>
      </c>
      <c r="G168">
        <v>0</v>
      </c>
      <c r="H168">
        <v>0</v>
      </c>
      <c r="I168">
        <v>0</v>
      </c>
      <c r="J168">
        <v>0</v>
      </c>
      <c r="K168" t="s">
        <v>109</v>
      </c>
      <c r="L168">
        <v>0</v>
      </c>
      <c r="M168">
        <v>0</v>
      </c>
      <c r="N168">
        <v>0</v>
      </c>
      <c r="O168">
        <v>0</v>
      </c>
    </row>
    <row r="169" spans="1:15" x14ac:dyDescent="0.35">
      <c r="A169" t="s">
        <v>213</v>
      </c>
      <c r="B169" t="s">
        <v>213</v>
      </c>
      <c r="C169" t="s">
        <v>214</v>
      </c>
      <c r="D169">
        <v>100471</v>
      </c>
      <c r="E169" t="s">
        <v>160</v>
      </c>
      <c r="F169">
        <v>0</v>
      </c>
      <c r="G169">
        <v>0</v>
      </c>
      <c r="H169">
        <v>0</v>
      </c>
      <c r="I169">
        <v>0</v>
      </c>
      <c r="J169">
        <v>0</v>
      </c>
      <c r="K169" t="s">
        <v>109</v>
      </c>
      <c r="L169">
        <v>0</v>
      </c>
      <c r="M169">
        <v>0</v>
      </c>
      <c r="N169">
        <v>0</v>
      </c>
      <c r="O169">
        <v>0</v>
      </c>
    </row>
    <row r="170" spans="1:15" x14ac:dyDescent="0.35">
      <c r="A170" t="s">
        <v>213</v>
      </c>
      <c r="B170" t="s">
        <v>213</v>
      </c>
      <c r="C170" t="s">
        <v>214</v>
      </c>
      <c r="D170">
        <v>100471</v>
      </c>
      <c r="E170" t="s">
        <v>161</v>
      </c>
      <c r="F170">
        <v>0</v>
      </c>
      <c r="G170">
        <v>0</v>
      </c>
      <c r="H170">
        <v>0</v>
      </c>
      <c r="I170">
        <v>0</v>
      </c>
      <c r="J170">
        <v>0</v>
      </c>
      <c r="K170" t="s">
        <v>109</v>
      </c>
      <c r="L170">
        <v>0</v>
      </c>
      <c r="M170">
        <v>0</v>
      </c>
      <c r="N170">
        <v>0</v>
      </c>
      <c r="O170">
        <v>0</v>
      </c>
    </row>
    <row r="171" spans="1:15" x14ac:dyDescent="0.35">
      <c r="A171" t="s">
        <v>213</v>
      </c>
      <c r="B171" t="s">
        <v>213</v>
      </c>
      <c r="C171" t="s">
        <v>214</v>
      </c>
      <c r="D171">
        <v>100471</v>
      </c>
      <c r="E171" t="s">
        <v>162</v>
      </c>
      <c r="F171">
        <v>0</v>
      </c>
      <c r="G171">
        <v>0</v>
      </c>
      <c r="H171">
        <v>0</v>
      </c>
      <c r="I171">
        <v>0</v>
      </c>
      <c r="J171">
        <v>0</v>
      </c>
      <c r="K171" t="s">
        <v>109</v>
      </c>
      <c r="L171">
        <v>0</v>
      </c>
      <c r="M171">
        <v>0</v>
      </c>
      <c r="N171">
        <v>0</v>
      </c>
      <c r="O171">
        <v>0</v>
      </c>
    </row>
    <row r="172" spans="1:15" x14ac:dyDescent="0.35">
      <c r="A172" t="s">
        <v>213</v>
      </c>
      <c r="B172" t="s">
        <v>213</v>
      </c>
      <c r="C172" t="s">
        <v>214</v>
      </c>
      <c r="D172">
        <v>100471</v>
      </c>
      <c r="E172" t="s">
        <v>163</v>
      </c>
      <c r="F172">
        <v>0</v>
      </c>
      <c r="G172">
        <v>0</v>
      </c>
      <c r="H172">
        <v>0</v>
      </c>
      <c r="I172">
        <v>0</v>
      </c>
      <c r="J172">
        <v>0</v>
      </c>
      <c r="K172" t="s">
        <v>109</v>
      </c>
      <c r="L172">
        <v>0</v>
      </c>
      <c r="M172">
        <v>0</v>
      </c>
      <c r="N172">
        <v>0</v>
      </c>
      <c r="O172">
        <v>0</v>
      </c>
    </row>
    <row r="173" spans="1:15" x14ac:dyDescent="0.35">
      <c r="A173" t="s">
        <v>213</v>
      </c>
      <c r="B173" t="s">
        <v>213</v>
      </c>
      <c r="C173" t="s">
        <v>214</v>
      </c>
      <c r="D173">
        <v>100471</v>
      </c>
      <c r="E173" t="s">
        <v>164</v>
      </c>
      <c r="F173">
        <v>0</v>
      </c>
      <c r="G173">
        <v>0</v>
      </c>
      <c r="H173">
        <v>0</v>
      </c>
      <c r="I173">
        <v>0</v>
      </c>
      <c r="J173">
        <v>0</v>
      </c>
      <c r="K173" t="s">
        <v>109</v>
      </c>
      <c r="L173">
        <v>0</v>
      </c>
      <c r="M173">
        <v>0</v>
      </c>
      <c r="N173">
        <v>0</v>
      </c>
      <c r="O173">
        <v>0</v>
      </c>
    </row>
    <row r="174" spans="1:15" x14ac:dyDescent="0.35">
      <c r="A174" t="s">
        <v>213</v>
      </c>
      <c r="B174" t="s">
        <v>213</v>
      </c>
      <c r="C174" t="s">
        <v>214</v>
      </c>
      <c r="D174">
        <v>100471</v>
      </c>
      <c r="E174" t="s">
        <v>165</v>
      </c>
      <c r="F174">
        <v>0</v>
      </c>
      <c r="G174">
        <v>0</v>
      </c>
      <c r="H174">
        <v>0</v>
      </c>
      <c r="I174">
        <v>0</v>
      </c>
      <c r="J174">
        <v>0</v>
      </c>
      <c r="K174" t="s">
        <v>109</v>
      </c>
      <c r="L174">
        <v>0</v>
      </c>
      <c r="M174">
        <v>0</v>
      </c>
      <c r="N174">
        <v>0</v>
      </c>
      <c r="O174">
        <v>0</v>
      </c>
    </row>
    <row r="175" spans="1:15" x14ac:dyDescent="0.35">
      <c r="A175" t="s">
        <v>213</v>
      </c>
      <c r="B175" t="s">
        <v>213</v>
      </c>
      <c r="C175" t="s">
        <v>214</v>
      </c>
      <c r="D175">
        <v>100471</v>
      </c>
      <c r="E175" t="s">
        <v>166</v>
      </c>
      <c r="F175">
        <v>0</v>
      </c>
      <c r="G175">
        <v>0</v>
      </c>
      <c r="H175">
        <v>0</v>
      </c>
      <c r="I175">
        <v>0</v>
      </c>
      <c r="J175">
        <v>0</v>
      </c>
      <c r="K175" t="s">
        <v>109</v>
      </c>
      <c r="L175">
        <v>0</v>
      </c>
      <c r="M175">
        <v>0</v>
      </c>
      <c r="N175">
        <v>0</v>
      </c>
      <c r="O175">
        <v>0</v>
      </c>
    </row>
    <row r="176" spans="1:15" x14ac:dyDescent="0.35">
      <c r="A176" t="s">
        <v>213</v>
      </c>
      <c r="B176" t="s">
        <v>213</v>
      </c>
      <c r="C176" t="s">
        <v>214</v>
      </c>
      <c r="D176">
        <v>100471</v>
      </c>
      <c r="E176" t="s">
        <v>167</v>
      </c>
      <c r="F176">
        <v>0</v>
      </c>
      <c r="G176">
        <v>0</v>
      </c>
      <c r="H176">
        <v>0</v>
      </c>
      <c r="I176">
        <v>0</v>
      </c>
      <c r="J176">
        <v>0</v>
      </c>
      <c r="K176" t="s">
        <v>109</v>
      </c>
      <c r="L176">
        <v>0</v>
      </c>
      <c r="M176">
        <v>0</v>
      </c>
      <c r="N176">
        <v>0</v>
      </c>
      <c r="O176">
        <v>0</v>
      </c>
    </row>
    <row r="177" spans="1:15" x14ac:dyDescent="0.35">
      <c r="A177" t="s">
        <v>213</v>
      </c>
      <c r="B177" t="s">
        <v>213</v>
      </c>
      <c r="C177" t="s">
        <v>214</v>
      </c>
      <c r="D177">
        <v>100471</v>
      </c>
      <c r="E177" t="s">
        <v>168</v>
      </c>
      <c r="F177">
        <v>0</v>
      </c>
      <c r="G177">
        <v>0</v>
      </c>
      <c r="H177">
        <v>0</v>
      </c>
      <c r="I177">
        <v>0</v>
      </c>
      <c r="J177">
        <v>0</v>
      </c>
      <c r="K177" t="s">
        <v>109</v>
      </c>
      <c r="L177">
        <v>0</v>
      </c>
      <c r="M177">
        <v>0</v>
      </c>
      <c r="N177">
        <v>0</v>
      </c>
      <c r="O177">
        <v>0</v>
      </c>
    </row>
    <row r="178" spans="1:15" x14ac:dyDescent="0.35">
      <c r="A178" t="s">
        <v>213</v>
      </c>
      <c r="B178" t="s">
        <v>213</v>
      </c>
      <c r="C178" t="s">
        <v>214</v>
      </c>
      <c r="D178">
        <v>100471</v>
      </c>
      <c r="E178" t="s">
        <v>169</v>
      </c>
      <c r="F178">
        <v>0</v>
      </c>
      <c r="G178">
        <v>0</v>
      </c>
      <c r="H178">
        <v>0</v>
      </c>
      <c r="I178">
        <v>0</v>
      </c>
      <c r="J178">
        <v>0</v>
      </c>
      <c r="K178" t="s">
        <v>109</v>
      </c>
      <c r="L178">
        <v>0</v>
      </c>
      <c r="M178">
        <v>0</v>
      </c>
      <c r="N178">
        <v>0</v>
      </c>
      <c r="O178">
        <v>0</v>
      </c>
    </row>
    <row r="179" spans="1:15" x14ac:dyDescent="0.35">
      <c r="A179" t="s">
        <v>213</v>
      </c>
      <c r="B179" t="s">
        <v>213</v>
      </c>
      <c r="C179" t="s">
        <v>214</v>
      </c>
      <c r="D179">
        <v>100471</v>
      </c>
      <c r="E179" t="s">
        <v>170</v>
      </c>
      <c r="F179">
        <v>0</v>
      </c>
      <c r="G179">
        <v>0</v>
      </c>
      <c r="H179">
        <v>0</v>
      </c>
      <c r="I179">
        <v>0</v>
      </c>
      <c r="J179">
        <v>0</v>
      </c>
      <c r="K179" t="s">
        <v>109</v>
      </c>
      <c r="L179">
        <v>0</v>
      </c>
      <c r="M179">
        <v>0</v>
      </c>
      <c r="N179">
        <v>0</v>
      </c>
      <c r="O179">
        <v>0</v>
      </c>
    </row>
    <row r="180" spans="1:15" x14ac:dyDescent="0.35">
      <c r="A180" t="s">
        <v>213</v>
      </c>
      <c r="B180" t="s">
        <v>213</v>
      </c>
      <c r="C180" t="s">
        <v>214</v>
      </c>
      <c r="D180">
        <v>100471</v>
      </c>
      <c r="E180" t="s">
        <v>171</v>
      </c>
      <c r="F180">
        <v>0</v>
      </c>
      <c r="G180">
        <v>0</v>
      </c>
      <c r="H180">
        <v>0</v>
      </c>
      <c r="I180">
        <v>0</v>
      </c>
      <c r="J180">
        <v>0</v>
      </c>
      <c r="K180" t="s">
        <v>109</v>
      </c>
      <c r="L180">
        <v>0</v>
      </c>
      <c r="M180">
        <v>0</v>
      </c>
      <c r="N180">
        <v>0</v>
      </c>
      <c r="O180">
        <v>0</v>
      </c>
    </row>
    <row r="181" spans="1:15" x14ac:dyDescent="0.35">
      <c r="A181" t="s">
        <v>213</v>
      </c>
      <c r="B181" t="s">
        <v>213</v>
      </c>
      <c r="C181" t="s">
        <v>214</v>
      </c>
      <c r="D181">
        <v>100471</v>
      </c>
      <c r="E181" t="s">
        <v>172</v>
      </c>
      <c r="F181">
        <v>0</v>
      </c>
      <c r="G181">
        <v>0</v>
      </c>
      <c r="H181">
        <v>0</v>
      </c>
      <c r="I181">
        <v>0</v>
      </c>
      <c r="J181">
        <v>0</v>
      </c>
      <c r="K181" t="s">
        <v>109</v>
      </c>
      <c r="L181">
        <v>0</v>
      </c>
      <c r="M181">
        <v>0</v>
      </c>
      <c r="N181">
        <v>0</v>
      </c>
      <c r="O181">
        <v>0</v>
      </c>
    </row>
    <row r="182" spans="1:15" x14ac:dyDescent="0.35">
      <c r="A182" t="s">
        <v>213</v>
      </c>
      <c r="B182" t="s">
        <v>213</v>
      </c>
      <c r="C182" t="s">
        <v>214</v>
      </c>
      <c r="D182">
        <v>100471</v>
      </c>
      <c r="E182" t="s">
        <v>173</v>
      </c>
      <c r="F182">
        <v>0</v>
      </c>
      <c r="G182">
        <v>0</v>
      </c>
      <c r="H182">
        <v>0</v>
      </c>
      <c r="I182">
        <v>0</v>
      </c>
      <c r="J182">
        <v>0</v>
      </c>
      <c r="K182" t="s">
        <v>109</v>
      </c>
      <c r="L182">
        <v>0</v>
      </c>
      <c r="M182">
        <v>0</v>
      </c>
      <c r="N182">
        <v>0</v>
      </c>
      <c r="O182">
        <v>0</v>
      </c>
    </row>
    <row r="183" spans="1:15" x14ac:dyDescent="0.35">
      <c r="A183" t="s">
        <v>213</v>
      </c>
      <c r="B183" t="s">
        <v>213</v>
      </c>
      <c r="C183" t="s">
        <v>214</v>
      </c>
      <c r="D183">
        <v>100471</v>
      </c>
      <c r="E183" t="s">
        <v>174</v>
      </c>
      <c r="F183">
        <v>0</v>
      </c>
      <c r="G183">
        <v>0</v>
      </c>
      <c r="H183">
        <v>0</v>
      </c>
      <c r="I183">
        <v>0</v>
      </c>
      <c r="J183">
        <v>0</v>
      </c>
      <c r="K183" t="s">
        <v>109</v>
      </c>
      <c r="L183">
        <v>0</v>
      </c>
      <c r="M183">
        <v>0</v>
      </c>
      <c r="N183">
        <v>0</v>
      </c>
      <c r="O183">
        <v>0</v>
      </c>
    </row>
    <row r="184" spans="1:15" x14ac:dyDescent="0.35">
      <c r="A184" t="s">
        <v>213</v>
      </c>
      <c r="B184" t="s">
        <v>213</v>
      </c>
      <c r="C184" t="s">
        <v>214</v>
      </c>
      <c r="D184">
        <v>100471</v>
      </c>
      <c r="E184" t="s">
        <v>175</v>
      </c>
      <c r="F184">
        <v>0</v>
      </c>
      <c r="G184">
        <v>0</v>
      </c>
      <c r="H184">
        <v>0</v>
      </c>
      <c r="I184">
        <v>0</v>
      </c>
      <c r="J184">
        <v>0</v>
      </c>
      <c r="K184" t="s">
        <v>109</v>
      </c>
      <c r="L184">
        <v>0</v>
      </c>
      <c r="M184">
        <v>0</v>
      </c>
      <c r="N184">
        <v>0</v>
      </c>
      <c r="O184">
        <v>0</v>
      </c>
    </row>
    <row r="185" spans="1:15" x14ac:dyDescent="0.35">
      <c r="A185" t="s">
        <v>213</v>
      </c>
      <c r="B185" t="s">
        <v>213</v>
      </c>
      <c r="C185" t="s">
        <v>214</v>
      </c>
      <c r="D185">
        <v>100471</v>
      </c>
      <c r="E185" t="s">
        <v>176</v>
      </c>
      <c r="F185">
        <v>0</v>
      </c>
      <c r="G185">
        <v>0</v>
      </c>
      <c r="H185">
        <v>0</v>
      </c>
      <c r="I185">
        <v>0</v>
      </c>
      <c r="J185">
        <v>0</v>
      </c>
      <c r="K185" t="s">
        <v>109</v>
      </c>
      <c r="L185">
        <v>0</v>
      </c>
      <c r="M185">
        <v>0</v>
      </c>
      <c r="N185">
        <v>0</v>
      </c>
      <c r="O185">
        <v>0</v>
      </c>
    </row>
    <row r="186" spans="1:15" x14ac:dyDescent="0.35">
      <c r="A186" t="s">
        <v>213</v>
      </c>
      <c r="B186" t="s">
        <v>213</v>
      </c>
      <c r="C186" t="s">
        <v>214</v>
      </c>
      <c r="D186">
        <v>100471</v>
      </c>
      <c r="E186" t="s">
        <v>177</v>
      </c>
      <c r="F186">
        <v>0</v>
      </c>
      <c r="G186">
        <v>0</v>
      </c>
      <c r="H186">
        <v>0</v>
      </c>
      <c r="I186">
        <v>0</v>
      </c>
      <c r="J186">
        <v>0</v>
      </c>
      <c r="K186" t="s">
        <v>109</v>
      </c>
      <c r="L186">
        <v>0</v>
      </c>
      <c r="M186">
        <v>0</v>
      </c>
      <c r="N186">
        <v>0</v>
      </c>
      <c r="O186">
        <v>0</v>
      </c>
    </row>
    <row r="187" spans="1:15" x14ac:dyDescent="0.35">
      <c r="A187" t="s">
        <v>213</v>
      </c>
      <c r="B187" t="s">
        <v>213</v>
      </c>
      <c r="C187" t="s">
        <v>214</v>
      </c>
      <c r="D187">
        <v>100471</v>
      </c>
      <c r="E187" t="s">
        <v>178</v>
      </c>
      <c r="F187">
        <v>0</v>
      </c>
      <c r="G187">
        <v>0</v>
      </c>
      <c r="H187">
        <v>0</v>
      </c>
      <c r="I187">
        <v>0</v>
      </c>
      <c r="J187">
        <v>0</v>
      </c>
      <c r="K187" t="s">
        <v>109</v>
      </c>
      <c r="L187">
        <v>0</v>
      </c>
      <c r="M187">
        <v>0</v>
      </c>
      <c r="N187">
        <v>0</v>
      </c>
      <c r="O187">
        <v>0</v>
      </c>
    </row>
    <row r="188" spans="1:15" x14ac:dyDescent="0.35">
      <c r="A188" t="s">
        <v>213</v>
      </c>
      <c r="B188" t="s">
        <v>213</v>
      </c>
      <c r="C188" t="s">
        <v>214</v>
      </c>
      <c r="D188">
        <v>100471</v>
      </c>
      <c r="E188" t="s">
        <v>179</v>
      </c>
      <c r="F188">
        <v>0</v>
      </c>
      <c r="G188">
        <v>0</v>
      </c>
      <c r="H188">
        <v>0</v>
      </c>
      <c r="I188">
        <v>0</v>
      </c>
      <c r="J188">
        <v>0</v>
      </c>
      <c r="K188" t="s">
        <v>109</v>
      </c>
      <c r="L188">
        <v>0</v>
      </c>
      <c r="M188">
        <v>0</v>
      </c>
      <c r="N188">
        <v>0</v>
      </c>
      <c r="O188">
        <v>0</v>
      </c>
    </row>
    <row r="189" spans="1:15" x14ac:dyDescent="0.35">
      <c r="A189" t="s">
        <v>213</v>
      </c>
      <c r="B189" t="s">
        <v>213</v>
      </c>
      <c r="C189" t="s">
        <v>214</v>
      </c>
      <c r="D189">
        <v>100471</v>
      </c>
      <c r="E189" t="s">
        <v>180</v>
      </c>
      <c r="F189">
        <v>0</v>
      </c>
      <c r="G189">
        <v>0</v>
      </c>
      <c r="H189">
        <v>0</v>
      </c>
      <c r="I189">
        <v>0</v>
      </c>
      <c r="J189">
        <v>0</v>
      </c>
      <c r="K189" t="s">
        <v>109</v>
      </c>
      <c r="L189">
        <v>0</v>
      </c>
      <c r="M189">
        <v>0</v>
      </c>
      <c r="N189">
        <v>0</v>
      </c>
      <c r="O189">
        <v>0</v>
      </c>
    </row>
    <row r="190" spans="1:15" x14ac:dyDescent="0.35">
      <c r="A190" t="s">
        <v>213</v>
      </c>
      <c r="B190" t="s">
        <v>213</v>
      </c>
      <c r="C190" t="s">
        <v>214</v>
      </c>
      <c r="D190">
        <v>100471</v>
      </c>
      <c r="E190" t="s">
        <v>181</v>
      </c>
      <c r="F190">
        <v>0</v>
      </c>
      <c r="G190">
        <v>0</v>
      </c>
      <c r="H190">
        <v>0</v>
      </c>
      <c r="I190">
        <v>0</v>
      </c>
      <c r="J190">
        <v>0</v>
      </c>
      <c r="K190" t="s">
        <v>109</v>
      </c>
      <c r="L190">
        <v>0</v>
      </c>
      <c r="M190">
        <v>0</v>
      </c>
      <c r="N190">
        <v>0</v>
      </c>
      <c r="O190">
        <v>0</v>
      </c>
    </row>
    <row r="191" spans="1:15" x14ac:dyDescent="0.35">
      <c r="A191" t="s">
        <v>213</v>
      </c>
      <c r="B191" t="s">
        <v>213</v>
      </c>
      <c r="C191" t="s">
        <v>214</v>
      </c>
      <c r="D191">
        <v>100471</v>
      </c>
      <c r="E191" t="s">
        <v>182</v>
      </c>
      <c r="F191">
        <v>0</v>
      </c>
      <c r="G191">
        <v>0</v>
      </c>
      <c r="H191">
        <v>0</v>
      </c>
      <c r="I191">
        <v>0</v>
      </c>
      <c r="J191">
        <v>0</v>
      </c>
      <c r="K191" t="s">
        <v>109</v>
      </c>
      <c r="L191">
        <v>0</v>
      </c>
      <c r="M191">
        <v>0</v>
      </c>
      <c r="N191">
        <v>0</v>
      </c>
      <c r="O191">
        <v>0</v>
      </c>
    </row>
    <row r="192" spans="1:15" x14ac:dyDescent="0.35">
      <c r="A192" t="s">
        <v>213</v>
      </c>
      <c r="B192" t="s">
        <v>213</v>
      </c>
      <c r="C192" t="s">
        <v>214</v>
      </c>
      <c r="D192">
        <v>100471</v>
      </c>
      <c r="E192" t="s">
        <v>183</v>
      </c>
      <c r="F192">
        <v>0</v>
      </c>
      <c r="G192">
        <v>0</v>
      </c>
      <c r="H192">
        <v>0</v>
      </c>
      <c r="I192">
        <v>0</v>
      </c>
      <c r="J192">
        <v>0</v>
      </c>
      <c r="K192" t="s">
        <v>109</v>
      </c>
      <c r="L192">
        <v>0</v>
      </c>
      <c r="M192">
        <v>0</v>
      </c>
      <c r="N192">
        <v>0</v>
      </c>
      <c r="O192">
        <v>0</v>
      </c>
    </row>
    <row r="193" spans="1:15" x14ac:dyDescent="0.35">
      <c r="A193" t="s">
        <v>213</v>
      </c>
      <c r="B193" t="s">
        <v>213</v>
      </c>
      <c r="C193" t="s">
        <v>214</v>
      </c>
      <c r="D193">
        <v>100471</v>
      </c>
      <c r="E193" t="s">
        <v>184</v>
      </c>
      <c r="F193">
        <v>0</v>
      </c>
      <c r="G193">
        <v>0</v>
      </c>
      <c r="H193">
        <v>0</v>
      </c>
      <c r="I193">
        <v>0</v>
      </c>
      <c r="J193">
        <v>0</v>
      </c>
      <c r="K193" t="s">
        <v>109</v>
      </c>
      <c r="L193">
        <v>0</v>
      </c>
      <c r="M193">
        <v>0</v>
      </c>
      <c r="N193">
        <v>0</v>
      </c>
      <c r="O193">
        <v>0</v>
      </c>
    </row>
    <row r="194" spans="1:15" x14ac:dyDescent="0.35">
      <c r="A194" t="s">
        <v>213</v>
      </c>
      <c r="B194" t="s">
        <v>213</v>
      </c>
      <c r="C194" t="s">
        <v>214</v>
      </c>
      <c r="D194">
        <v>100471</v>
      </c>
      <c r="E194" t="s">
        <v>185</v>
      </c>
      <c r="F194">
        <v>0</v>
      </c>
      <c r="G194">
        <v>0</v>
      </c>
      <c r="H194">
        <v>0</v>
      </c>
      <c r="I194">
        <v>0</v>
      </c>
      <c r="J194">
        <v>0</v>
      </c>
      <c r="K194" t="s">
        <v>109</v>
      </c>
      <c r="L194">
        <v>0</v>
      </c>
      <c r="M194">
        <v>0</v>
      </c>
      <c r="N194">
        <v>0</v>
      </c>
      <c r="O194">
        <v>0</v>
      </c>
    </row>
    <row r="195" spans="1:15" x14ac:dyDescent="0.35">
      <c r="A195" t="s">
        <v>213</v>
      </c>
      <c r="B195" t="s">
        <v>213</v>
      </c>
      <c r="C195" t="s">
        <v>214</v>
      </c>
      <c r="D195">
        <v>100471</v>
      </c>
      <c r="E195" t="s">
        <v>186</v>
      </c>
      <c r="F195">
        <v>0</v>
      </c>
      <c r="G195">
        <v>0</v>
      </c>
      <c r="H195">
        <v>0</v>
      </c>
      <c r="I195">
        <v>0</v>
      </c>
      <c r="J195">
        <v>0</v>
      </c>
      <c r="K195" t="s">
        <v>109</v>
      </c>
      <c r="L195">
        <v>0</v>
      </c>
      <c r="M195">
        <v>0</v>
      </c>
      <c r="N195">
        <v>0</v>
      </c>
      <c r="O195">
        <v>0</v>
      </c>
    </row>
    <row r="196" spans="1:15" x14ac:dyDescent="0.35">
      <c r="A196" t="s">
        <v>213</v>
      </c>
      <c r="B196" t="s">
        <v>213</v>
      </c>
      <c r="C196" t="s">
        <v>214</v>
      </c>
      <c r="D196">
        <v>100471</v>
      </c>
      <c r="E196" t="s">
        <v>187</v>
      </c>
      <c r="F196">
        <v>0</v>
      </c>
      <c r="G196">
        <v>0</v>
      </c>
      <c r="H196">
        <v>0</v>
      </c>
      <c r="I196">
        <v>0</v>
      </c>
      <c r="J196">
        <v>0</v>
      </c>
      <c r="K196" t="s">
        <v>109</v>
      </c>
      <c r="L196">
        <v>0</v>
      </c>
      <c r="M196">
        <v>0</v>
      </c>
      <c r="N196">
        <v>0</v>
      </c>
      <c r="O196">
        <v>0</v>
      </c>
    </row>
    <row r="197" spans="1:15" x14ac:dyDescent="0.35">
      <c r="A197" t="s">
        <v>213</v>
      </c>
      <c r="B197" t="s">
        <v>213</v>
      </c>
      <c r="C197" t="s">
        <v>214</v>
      </c>
      <c r="D197">
        <v>100471</v>
      </c>
      <c r="E197" t="s">
        <v>188</v>
      </c>
      <c r="F197">
        <v>0</v>
      </c>
      <c r="G197">
        <v>0</v>
      </c>
      <c r="H197">
        <v>0</v>
      </c>
      <c r="I197">
        <v>0</v>
      </c>
      <c r="J197">
        <v>0</v>
      </c>
      <c r="K197" t="s">
        <v>109</v>
      </c>
      <c r="L197">
        <v>0</v>
      </c>
      <c r="M197">
        <v>0</v>
      </c>
      <c r="N197">
        <v>0</v>
      </c>
      <c r="O197">
        <v>0</v>
      </c>
    </row>
    <row r="198" spans="1:15" x14ac:dyDescent="0.35">
      <c r="A198" t="s">
        <v>213</v>
      </c>
      <c r="B198" t="s">
        <v>213</v>
      </c>
      <c r="C198" t="s">
        <v>214</v>
      </c>
      <c r="D198">
        <v>100471</v>
      </c>
      <c r="E198" t="s">
        <v>189</v>
      </c>
      <c r="F198">
        <v>0</v>
      </c>
      <c r="G198">
        <v>0</v>
      </c>
      <c r="H198">
        <v>0</v>
      </c>
      <c r="I198">
        <v>0</v>
      </c>
      <c r="J198">
        <v>0</v>
      </c>
      <c r="K198" t="s">
        <v>109</v>
      </c>
      <c r="L198">
        <v>0</v>
      </c>
      <c r="M198">
        <v>0</v>
      </c>
      <c r="N198">
        <v>0</v>
      </c>
      <c r="O198">
        <v>0</v>
      </c>
    </row>
    <row r="199" spans="1:15" x14ac:dyDescent="0.35">
      <c r="A199" t="s">
        <v>213</v>
      </c>
      <c r="B199" t="s">
        <v>213</v>
      </c>
      <c r="C199" t="s">
        <v>214</v>
      </c>
      <c r="D199">
        <v>100471</v>
      </c>
      <c r="E199" t="s">
        <v>190</v>
      </c>
      <c r="F199">
        <v>0</v>
      </c>
      <c r="G199">
        <v>0</v>
      </c>
      <c r="H199">
        <v>0</v>
      </c>
      <c r="I199">
        <v>0</v>
      </c>
      <c r="J199">
        <v>0</v>
      </c>
      <c r="K199" t="s">
        <v>109</v>
      </c>
      <c r="L199">
        <v>0</v>
      </c>
      <c r="M199">
        <v>0</v>
      </c>
      <c r="N199">
        <v>0</v>
      </c>
      <c r="O199">
        <v>0</v>
      </c>
    </row>
    <row r="200" spans="1:15" x14ac:dyDescent="0.35">
      <c r="A200" t="s">
        <v>213</v>
      </c>
      <c r="B200" t="s">
        <v>213</v>
      </c>
      <c r="C200" t="s">
        <v>214</v>
      </c>
      <c r="D200">
        <v>100471</v>
      </c>
      <c r="E200" t="s">
        <v>191</v>
      </c>
      <c r="F200">
        <v>0</v>
      </c>
      <c r="G200">
        <v>0</v>
      </c>
      <c r="H200">
        <v>0</v>
      </c>
      <c r="I200">
        <v>0</v>
      </c>
      <c r="J200">
        <v>0</v>
      </c>
      <c r="K200" t="s">
        <v>109</v>
      </c>
      <c r="L200">
        <v>0</v>
      </c>
      <c r="M200">
        <v>0</v>
      </c>
      <c r="N200">
        <v>0</v>
      </c>
      <c r="O200">
        <v>0</v>
      </c>
    </row>
    <row r="201" spans="1:15" x14ac:dyDescent="0.35">
      <c r="A201" t="s">
        <v>213</v>
      </c>
      <c r="B201" t="s">
        <v>213</v>
      </c>
      <c r="C201" t="s">
        <v>214</v>
      </c>
      <c r="D201">
        <v>100471</v>
      </c>
      <c r="E201" t="s">
        <v>192</v>
      </c>
      <c r="F201">
        <v>0</v>
      </c>
      <c r="G201">
        <v>0</v>
      </c>
      <c r="H201">
        <v>0</v>
      </c>
      <c r="I201">
        <v>0</v>
      </c>
      <c r="J201">
        <v>0</v>
      </c>
      <c r="K201" t="s">
        <v>109</v>
      </c>
      <c r="L201">
        <v>0</v>
      </c>
      <c r="M201">
        <v>0</v>
      </c>
      <c r="N201">
        <v>0</v>
      </c>
      <c r="O201">
        <v>0</v>
      </c>
    </row>
    <row r="202" spans="1:15" x14ac:dyDescent="0.35">
      <c r="A202" t="s">
        <v>213</v>
      </c>
      <c r="B202" t="s">
        <v>213</v>
      </c>
      <c r="C202" t="s">
        <v>214</v>
      </c>
      <c r="D202">
        <v>100471</v>
      </c>
      <c r="E202" t="s">
        <v>203</v>
      </c>
      <c r="F202">
        <v>0</v>
      </c>
      <c r="G202">
        <v>0</v>
      </c>
      <c r="H202">
        <v>0</v>
      </c>
      <c r="I202">
        <v>0</v>
      </c>
      <c r="J202">
        <v>0</v>
      </c>
      <c r="K202" t="s">
        <v>109</v>
      </c>
      <c r="L202">
        <v>0</v>
      </c>
      <c r="M202">
        <v>0</v>
      </c>
      <c r="N202">
        <v>0</v>
      </c>
      <c r="O202">
        <v>0</v>
      </c>
    </row>
    <row r="203" spans="1:15" x14ac:dyDescent="0.35">
      <c r="A203" t="s">
        <v>213</v>
      </c>
      <c r="B203" t="s">
        <v>213</v>
      </c>
      <c r="C203" t="s">
        <v>214</v>
      </c>
      <c r="D203">
        <v>100471</v>
      </c>
      <c r="E203" t="s">
        <v>204</v>
      </c>
      <c r="F203">
        <v>0</v>
      </c>
      <c r="G203">
        <v>0</v>
      </c>
      <c r="H203">
        <v>0</v>
      </c>
      <c r="I203">
        <v>0</v>
      </c>
      <c r="J203">
        <v>0</v>
      </c>
      <c r="K203" t="s">
        <v>109</v>
      </c>
      <c r="L203">
        <v>0</v>
      </c>
      <c r="M203">
        <v>0</v>
      </c>
      <c r="N203">
        <v>0</v>
      </c>
      <c r="O203">
        <v>0</v>
      </c>
    </row>
    <row r="204" spans="1:15" x14ac:dyDescent="0.35">
      <c r="A204" t="s">
        <v>213</v>
      </c>
      <c r="B204" t="s">
        <v>213</v>
      </c>
      <c r="C204" t="s">
        <v>214</v>
      </c>
      <c r="D204">
        <v>100471</v>
      </c>
      <c r="E204" t="s">
        <v>205</v>
      </c>
      <c r="F204">
        <v>0</v>
      </c>
      <c r="G204">
        <v>0</v>
      </c>
      <c r="H204">
        <v>0</v>
      </c>
      <c r="I204">
        <v>0</v>
      </c>
      <c r="J204">
        <v>0</v>
      </c>
      <c r="K204" t="s">
        <v>109</v>
      </c>
      <c r="L204">
        <v>0</v>
      </c>
      <c r="M204">
        <v>0</v>
      </c>
      <c r="N204">
        <v>0</v>
      </c>
      <c r="O204">
        <v>0</v>
      </c>
    </row>
    <row r="205" spans="1:15" x14ac:dyDescent="0.35">
      <c r="A205" t="s">
        <v>213</v>
      </c>
      <c r="B205" t="s">
        <v>213</v>
      </c>
      <c r="C205" t="s">
        <v>214</v>
      </c>
      <c r="D205">
        <v>100471</v>
      </c>
      <c r="E205" t="s">
        <v>206</v>
      </c>
      <c r="F205">
        <v>0</v>
      </c>
      <c r="G205">
        <v>0</v>
      </c>
      <c r="H205">
        <v>0</v>
      </c>
      <c r="I205">
        <v>0</v>
      </c>
      <c r="J205">
        <v>0</v>
      </c>
      <c r="K205" t="s">
        <v>109</v>
      </c>
      <c r="L205">
        <v>0</v>
      </c>
      <c r="M205">
        <v>0</v>
      </c>
      <c r="N205">
        <v>0</v>
      </c>
      <c r="O205">
        <v>0</v>
      </c>
    </row>
    <row r="206" spans="1:15" x14ac:dyDescent="0.35">
      <c r="A206" t="s">
        <v>213</v>
      </c>
      <c r="B206" t="s">
        <v>213</v>
      </c>
      <c r="C206" t="s">
        <v>214</v>
      </c>
      <c r="D206">
        <v>100471</v>
      </c>
      <c r="E206" t="s">
        <v>207</v>
      </c>
      <c r="F206">
        <v>0</v>
      </c>
      <c r="G206">
        <v>0</v>
      </c>
      <c r="H206">
        <v>0</v>
      </c>
      <c r="I206">
        <v>0</v>
      </c>
      <c r="J206">
        <v>0</v>
      </c>
      <c r="K206" t="s">
        <v>109</v>
      </c>
      <c r="L206">
        <v>0</v>
      </c>
      <c r="M206">
        <v>0</v>
      </c>
      <c r="N206">
        <v>0</v>
      </c>
      <c r="O206">
        <v>0</v>
      </c>
    </row>
    <row r="207" spans="1:15" x14ac:dyDescent="0.35">
      <c r="A207" t="s">
        <v>213</v>
      </c>
      <c r="B207" t="s">
        <v>213</v>
      </c>
      <c r="C207" t="s">
        <v>214</v>
      </c>
      <c r="D207">
        <v>100471</v>
      </c>
      <c r="E207" t="s">
        <v>208</v>
      </c>
      <c r="F207">
        <v>0</v>
      </c>
      <c r="G207">
        <v>0</v>
      </c>
      <c r="H207">
        <v>0</v>
      </c>
      <c r="I207">
        <v>0</v>
      </c>
      <c r="J207">
        <v>0</v>
      </c>
      <c r="K207" t="s">
        <v>109</v>
      </c>
      <c r="L207">
        <v>0</v>
      </c>
      <c r="M207">
        <v>0</v>
      </c>
      <c r="N207">
        <v>0</v>
      </c>
      <c r="O207">
        <v>0</v>
      </c>
    </row>
    <row r="208" spans="1:15" x14ac:dyDescent="0.35">
      <c r="A208" t="s">
        <v>213</v>
      </c>
      <c r="B208" t="s">
        <v>213</v>
      </c>
      <c r="C208" t="s">
        <v>214</v>
      </c>
      <c r="D208">
        <v>100471</v>
      </c>
      <c r="E208" t="s">
        <v>209</v>
      </c>
      <c r="F208">
        <v>0</v>
      </c>
      <c r="G208">
        <v>0</v>
      </c>
      <c r="H208">
        <v>0</v>
      </c>
      <c r="I208">
        <v>0</v>
      </c>
      <c r="J208">
        <v>0</v>
      </c>
      <c r="K208" t="s">
        <v>109</v>
      </c>
      <c r="L208">
        <v>0</v>
      </c>
      <c r="M208">
        <v>0</v>
      </c>
      <c r="N208">
        <v>0</v>
      </c>
      <c r="O208">
        <v>0</v>
      </c>
    </row>
    <row r="209" spans="1:15" x14ac:dyDescent="0.35">
      <c r="A209" t="s">
        <v>213</v>
      </c>
      <c r="B209" t="s">
        <v>213</v>
      </c>
      <c r="C209" t="s">
        <v>214</v>
      </c>
      <c r="D209">
        <v>100471</v>
      </c>
      <c r="E209" t="s">
        <v>210</v>
      </c>
      <c r="F209">
        <v>0</v>
      </c>
      <c r="G209">
        <v>0</v>
      </c>
      <c r="H209">
        <v>0</v>
      </c>
      <c r="I209">
        <v>0</v>
      </c>
      <c r="J209">
        <v>0</v>
      </c>
      <c r="K209" t="s">
        <v>109</v>
      </c>
      <c r="L209">
        <v>0</v>
      </c>
      <c r="M209">
        <v>0</v>
      </c>
      <c r="N209">
        <v>0</v>
      </c>
      <c r="O209">
        <v>0</v>
      </c>
    </row>
    <row r="210" spans="1:15" x14ac:dyDescent="0.35">
      <c r="A210" t="s">
        <v>213</v>
      </c>
      <c r="B210" t="s">
        <v>213</v>
      </c>
      <c r="C210" t="s">
        <v>214</v>
      </c>
      <c r="D210">
        <v>100471</v>
      </c>
      <c r="E210" t="s">
        <v>211</v>
      </c>
      <c r="F210">
        <v>0</v>
      </c>
      <c r="G210">
        <v>0</v>
      </c>
      <c r="H210">
        <v>0</v>
      </c>
      <c r="I210">
        <v>0</v>
      </c>
      <c r="J210">
        <v>0</v>
      </c>
      <c r="K210" t="s">
        <v>109</v>
      </c>
      <c r="L210">
        <v>0</v>
      </c>
      <c r="M210">
        <v>0</v>
      </c>
      <c r="N210">
        <v>0</v>
      </c>
      <c r="O210">
        <v>0</v>
      </c>
    </row>
    <row r="211" spans="1:15" x14ac:dyDescent="0.35">
      <c r="A211" t="s">
        <v>213</v>
      </c>
      <c r="B211" t="s">
        <v>213</v>
      </c>
      <c r="C211" t="s">
        <v>214</v>
      </c>
      <c r="D211">
        <v>100471</v>
      </c>
      <c r="E211" t="s">
        <v>212</v>
      </c>
      <c r="F211">
        <v>0</v>
      </c>
      <c r="G211">
        <v>0</v>
      </c>
      <c r="H211">
        <v>0</v>
      </c>
      <c r="I211">
        <v>0</v>
      </c>
      <c r="J211">
        <v>0</v>
      </c>
      <c r="K211" t="s">
        <v>109</v>
      </c>
      <c r="L211">
        <v>0</v>
      </c>
      <c r="M211">
        <v>0</v>
      </c>
      <c r="N211">
        <v>0</v>
      </c>
      <c r="O211">
        <v>0</v>
      </c>
    </row>
    <row r="212" spans="1:15" x14ac:dyDescent="0.35">
      <c r="A212" t="s">
        <v>223</v>
      </c>
      <c r="B212" t="s">
        <v>223</v>
      </c>
      <c r="C212" t="s">
        <v>223</v>
      </c>
      <c r="D212">
        <v>0</v>
      </c>
      <c r="F212">
        <v>0</v>
      </c>
      <c r="G212">
        <v>0</v>
      </c>
      <c r="H212">
        <v>5.9666666666666597</v>
      </c>
      <c r="I212">
        <v>0</v>
      </c>
      <c r="J212">
        <v>0</v>
      </c>
      <c r="K212" t="s">
        <v>109</v>
      </c>
      <c r="L212">
        <v>0</v>
      </c>
      <c r="M212">
        <v>0</v>
      </c>
      <c r="N212">
        <v>0</v>
      </c>
      <c r="O212">
        <v>-5.9666666666666597</v>
      </c>
    </row>
    <row r="213" spans="1:15" x14ac:dyDescent="0.35">
      <c r="A213" t="s">
        <v>93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rt0">
    <tabColor theme="7" tint="0.59999389629810485"/>
    <pageSetUpPr fitToPage="1"/>
  </sheetPr>
  <dimension ref="A1:AD111"/>
  <sheetViews>
    <sheetView showGridLines="0" zoomScale="70" zoomScaleNormal="70" workbookViewId="0">
      <selection activeCell="E31" sqref="E31"/>
    </sheetView>
  </sheetViews>
  <sheetFormatPr defaultColWidth="0" defaultRowHeight="0" customHeight="1" zeroHeight="1" x14ac:dyDescent="0.35"/>
  <cols>
    <col min="1" max="1" width="9.1796875" style="50" customWidth="1"/>
    <col min="2" max="2" width="19.81640625" style="50" customWidth="1"/>
    <col min="3" max="9" width="20.54296875" style="50" customWidth="1"/>
    <col min="10" max="10" width="9.1796875" style="187" hidden="1" customWidth="1"/>
    <col min="11" max="13" width="9.1796875" style="50" customWidth="1"/>
    <col min="14" max="14" width="11" style="47" hidden="1" customWidth="1"/>
    <col min="15" max="25" width="0" style="47" hidden="1" customWidth="1"/>
    <col min="26" max="26" width="11" style="47" hidden="1" customWidth="1"/>
    <col min="27" max="30" width="0" style="47" hidden="1" customWidth="1"/>
    <col min="31" max="16384" width="9.1796875" style="47" hidden="1"/>
  </cols>
  <sheetData>
    <row r="1" spans="1:13" s="1" customFormat="1" ht="49" customHeight="1" x14ac:dyDescent="0.35">
      <c r="A1" s="50"/>
      <c r="B1" s="393" t="s">
        <v>78</v>
      </c>
      <c r="C1" s="393"/>
      <c r="D1" s="50"/>
      <c r="E1" s="50"/>
      <c r="F1" s="50"/>
      <c r="G1" s="50"/>
      <c r="H1" s="50"/>
      <c r="I1" s="50"/>
      <c r="J1" s="187"/>
      <c r="K1" s="50"/>
      <c r="L1" s="50"/>
      <c r="M1" s="50"/>
    </row>
    <row r="2" spans="1:13" s="1" customFormat="1" ht="14.5" x14ac:dyDescent="0.35">
      <c r="A2" s="50"/>
      <c r="B2" s="38"/>
      <c r="C2" s="33" t="s">
        <v>2</v>
      </c>
      <c r="D2" s="51"/>
      <c r="E2" s="51"/>
      <c r="F2" s="50"/>
      <c r="G2" s="51"/>
      <c r="H2" s="52"/>
      <c r="I2" s="50"/>
      <c r="J2" s="187"/>
      <c r="K2" s="50"/>
      <c r="L2" s="50"/>
      <c r="M2" s="50"/>
    </row>
    <row r="3" spans="1:13" s="1" customFormat="1" ht="14.5" x14ac:dyDescent="0.35">
      <c r="A3" s="50"/>
      <c r="B3" s="36" t="s">
        <v>33</v>
      </c>
      <c r="C3" s="34">
        <v>44075</v>
      </c>
      <c r="D3" s="53"/>
      <c r="E3" s="53"/>
      <c r="F3" s="50"/>
      <c r="G3" s="51"/>
      <c r="H3" s="54"/>
      <c r="I3" s="50"/>
      <c r="J3" s="187"/>
      <c r="K3" s="50"/>
      <c r="L3" s="50"/>
      <c r="M3" s="50"/>
    </row>
    <row r="4" spans="1:13" ht="15" thickBot="1" x14ac:dyDescent="0.4">
      <c r="B4" s="37" t="s">
        <v>34</v>
      </c>
      <c r="C4" s="35">
        <v>44075</v>
      </c>
      <c r="D4" s="53"/>
      <c r="E4" s="53"/>
    </row>
    <row r="5" spans="1:13" ht="25.5" customHeight="1" thickBot="1" x14ac:dyDescent="0.4">
      <c r="B5" s="394" t="str">
        <f>H3&amp;" Hourly Tracker - "&amp; TEXT(EndDate,"MM/DD/YY")&amp;" OFD"</f>
        <v xml:space="preserve"> Hourly Tracker - 09/01/20 OFD</v>
      </c>
      <c r="C5" s="395"/>
      <c r="D5" s="395"/>
      <c r="E5" s="395"/>
      <c r="F5" s="395"/>
      <c r="G5" s="395"/>
      <c r="H5" s="395"/>
      <c r="I5" s="396"/>
    </row>
    <row r="6" spans="1:13" ht="14.5" x14ac:dyDescent="0.35">
      <c r="B6" s="397" t="s">
        <v>21</v>
      </c>
      <c r="C6" s="398"/>
      <c r="D6" s="398"/>
      <c r="E6" s="398"/>
      <c r="F6" s="398"/>
      <c r="G6" s="398"/>
      <c r="H6" s="398"/>
      <c r="I6" s="399"/>
    </row>
    <row r="7" spans="1:13" ht="14.5" x14ac:dyDescent="0.35">
      <c r="B7" s="400"/>
      <c r="C7" s="366"/>
      <c r="D7" s="366"/>
      <c r="E7" s="366"/>
      <c r="F7" s="366"/>
      <c r="G7" s="366"/>
      <c r="H7" s="366"/>
      <c r="I7" s="401"/>
    </row>
    <row r="8" spans="1:13" ht="14.5" x14ac:dyDescent="0.35">
      <c r="B8" s="402"/>
      <c r="C8" s="368"/>
      <c r="D8" s="368"/>
      <c r="E8" s="368"/>
      <c r="F8" s="368"/>
      <c r="G8" s="368"/>
      <c r="H8" s="368"/>
      <c r="I8" s="403"/>
    </row>
    <row r="9" spans="1:13" ht="14.5" x14ac:dyDescent="0.35">
      <c r="B9" s="404"/>
      <c r="C9" s="370"/>
      <c r="D9" s="370"/>
      <c r="E9" s="370"/>
      <c r="F9" s="370"/>
      <c r="G9" s="370"/>
      <c r="H9" s="370"/>
      <c r="I9" s="405"/>
    </row>
    <row r="10" spans="1:13" ht="37.5" customHeight="1" x14ac:dyDescent="0.35">
      <c r="B10" s="42"/>
      <c r="C10" s="43"/>
      <c r="D10" s="44"/>
      <c r="E10" s="44"/>
      <c r="F10" s="44"/>
      <c r="G10" s="45"/>
      <c r="H10" s="45"/>
      <c r="I10" s="46"/>
    </row>
    <row r="11" spans="1:13" ht="15" customHeight="1" thickBot="1" x14ac:dyDescent="0.4">
      <c r="B11" s="3"/>
      <c r="C11" s="4" t="s">
        <v>35</v>
      </c>
      <c r="D11" s="5">
        <v>0.66666666666666663</v>
      </c>
      <c r="E11" s="5">
        <v>0.70833333333333337</v>
      </c>
      <c r="F11" s="5">
        <f t="shared" ref="F11:H11" si="0">E11+1/24</f>
        <v>0.75</v>
      </c>
      <c r="G11" s="5">
        <f>F11+1/24</f>
        <v>0.79166666666666663</v>
      </c>
      <c r="H11" s="5">
        <f t="shared" si="0"/>
        <v>0.83333333333333326</v>
      </c>
      <c r="I11" s="6" t="s">
        <v>4</v>
      </c>
    </row>
    <row r="12" spans="1:13" ht="15" customHeight="1" thickBot="1" x14ac:dyDescent="0.4">
      <c r="B12" s="406" t="s">
        <v>36</v>
      </c>
      <c r="C12" s="407"/>
      <c r="D12" s="407"/>
      <c r="E12" s="407"/>
      <c r="F12" s="407"/>
      <c r="G12" s="407"/>
      <c r="H12" s="407"/>
      <c r="I12" s="408"/>
    </row>
    <row r="13" spans="1:13" ht="15" customHeight="1" thickBot="1" x14ac:dyDescent="0.4">
      <c r="B13" s="12" t="s">
        <v>37</v>
      </c>
      <c r="C13" s="63"/>
      <c r="D13" s="13">
        <v>1</v>
      </c>
      <c r="E13" s="13">
        <v>0.75</v>
      </c>
      <c r="F13" s="13">
        <v>1</v>
      </c>
      <c r="G13" s="13">
        <v>0.75</v>
      </c>
      <c r="H13" s="13">
        <v>1</v>
      </c>
      <c r="I13" s="160">
        <f>SUM(D13:H13)</f>
        <v>4.5</v>
      </c>
    </row>
    <row r="14" spans="1:13" ht="15" customHeight="1" thickBot="1" x14ac:dyDescent="0.4">
      <c r="B14" s="210" t="s">
        <v>36</v>
      </c>
      <c r="C14" s="64"/>
      <c r="D14" s="412" t="s">
        <v>7</v>
      </c>
      <c r="E14" s="407"/>
      <c r="F14" s="407"/>
      <c r="G14" s="407"/>
      <c r="H14" s="407"/>
      <c r="I14" s="408"/>
    </row>
    <row r="15" spans="1:13" ht="15" customHeight="1" x14ac:dyDescent="0.35">
      <c r="A15" s="59"/>
      <c r="B15" s="9" t="s">
        <v>38</v>
      </c>
      <c r="C15" s="65">
        <f>IFERROR(A15/I13,"")</f>
        <v>0</v>
      </c>
      <c r="D15" s="167">
        <f>((D13 / I13) * A15)</f>
        <v>0</v>
      </c>
      <c r="E15" s="123">
        <f>((E$13 /$I$13) * $A$15)</f>
        <v>0</v>
      </c>
      <c r="F15" s="25">
        <f>((F$13 /$I$13) * $A$15)</f>
        <v>0</v>
      </c>
      <c r="G15" s="123">
        <f t="shared" ref="G15:H15" si="1">((G$13 /$I$13) * $A$15)</f>
        <v>0</v>
      </c>
      <c r="H15" s="25">
        <f t="shared" si="1"/>
        <v>0</v>
      </c>
      <c r="I15" s="134">
        <f>SUM(D15:H15)</f>
        <v>0</v>
      </c>
    </row>
    <row r="16" spans="1:13" ht="15" customHeight="1" thickBot="1" x14ac:dyDescent="0.4">
      <c r="B16" s="9" t="s">
        <v>39</v>
      </c>
      <c r="C16" s="65"/>
      <c r="D16" s="201" t="str">
        <f ca="1">IFERROR(IF(SUMIF(INDIRECT("PPA."&amp;HOUR(D$11)&amp;"!$D:$D"),$J16,INDIRECT("PPA."&amp;HOUR(D$11)&amp;"!$F:$F"))=0,"",SUMIF(INDIRECT("PPA."&amp;HOUR(D$11)&amp;"!$D:$D"),$J16,INDIRECT("PPA."&amp;HOUR(D$11)&amp;"!$F:$F"))),"")</f>
        <v/>
      </c>
      <c r="E16" s="133" t="str">
        <f t="shared" ref="E16:H16" ca="1" si="2">IFERROR(IF(SUMIF(INDIRECT("PPA."&amp;HOUR(E$11)&amp;"!$D:$D"),$J16,INDIRECT("PPA."&amp;HOUR(E$11)&amp;"!$F:$F"))=0,"",SUMIF(INDIRECT("PPA."&amp;HOUR(E$11)&amp;"!$D:$D"),$J16,INDIRECT("PPA."&amp;HOUR(E$11)&amp;"!$F:$F"))),"")</f>
        <v/>
      </c>
      <c r="F16" s="133" t="str">
        <f t="shared" ca="1" si="2"/>
        <v/>
      </c>
      <c r="G16" s="132" t="str">
        <f t="shared" ca="1" si="2"/>
        <v/>
      </c>
      <c r="H16" s="132" t="str">
        <f t="shared" ca="1" si="2"/>
        <v/>
      </c>
      <c r="I16" s="135">
        <f ca="1">SUM(D16:H16)/I13</f>
        <v>0</v>
      </c>
      <c r="J16" s="187">
        <v>100020</v>
      </c>
    </row>
    <row r="17" spans="2:12" ht="15" customHeight="1" thickBot="1" x14ac:dyDescent="0.4">
      <c r="B17" s="127" t="s">
        <v>3</v>
      </c>
      <c r="C17" s="155"/>
      <c r="D17" s="158" t="str">
        <f t="shared" ref="D17:H17" ca="1" si="3">IFERROR(IF(D16="","",D16-D15),"")</f>
        <v/>
      </c>
      <c r="E17" s="130" t="str">
        <f t="shared" ca="1" si="3"/>
        <v/>
      </c>
      <c r="F17" s="130" t="str">
        <f t="shared" ca="1" si="3"/>
        <v/>
      </c>
      <c r="G17" s="130" t="str">
        <f t="shared" ca="1" si="3"/>
        <v/>
      </c>
      <c r="H17" s="129" t="str">
        <f t="shared" ca="1" si="3"/>
        <v/>
      </c>
      <c r="I17" s="136">
        <f ca="1">I16-I15</f>
        <v>0</v>
      </c>
    </row>
    <row r="18" spans="2:12" ht="15" customHeight="1" x14ac:dyDescent="0.35">
      <c r="B18" s="9" t="s">
        <v>40</v>
      </c>
      <c r="C18" s="65"/>
      <c r="D18" s="159">
        <f>D15</f>
        <v>0</v>
      </c>
      <c r="E18" s="122">
        <f>D18+E15</f>
        <v>0</v>
      </c>
      <c r="F18" s="122">
        <f t="shared" ref="F18:H18" si="4">E18+F15</f>
        <v>0</v>
      </c>
      <c r="G18" s="122">
        <f t="shared" si="4"/>
        <v>0</v>
      </c>
      <c r="H18" s="23">
        <f t="shared" si="4"/>
        <v>0</v>
      </c>
      <c r="I18" s="135">
        <f>SUM(D15:H15)</f>
        <v>0</v>
      </c>
    </row>
    <row r="19" spans="2:12" ht="15" customHeight="1" thickBot="1" x14ac:dyDescent="0.4">
      <c r="B19" s="9" t="s">
        <v>41</v>
      </c>
      <c r="C19" s="65"/>
      <c r="D19" s="159" t="str">
        <f ca="1">IF(D16="","",SUM(D$16:$D16))</f>
        <v/>
      </c>
      <c r="E19" s="122" t="str">
        <f ca="1">IF(E16="","",SUM($D$16:E16))</f>
        <v/>
      </c>
      <c r="F19" s="122" t="str">
        <f ca="1">IF(F16="","",SUM($D$16:F16))</f>
        <v/>
      </c>
      <c r="G19" s="122" t="str">
        <f ca="1">IF(G16="","",SUM($D$16:G16))</f>
        <v/>
      </c>
      <c r="H19" s="23" t="str">
        <f ca="1">IF(H16="","",SUM($D$16:H16))</f>
        <v/>
      </c>
      <c r="I19" s="135">
        <f ca="1">SUM(D16:H16)</f>
        <v>0</v>
      </c>
    </row>
    <row r="20" spans="2:12" ht="15" customHeight="1" thickBot="1" x14ac:dyDescent="0.4">
      <c r="B20" s="127" t="s">
        <v>3</v>
      </c>
      <c r="C20" s="155"/>
      <c r="D20" s="158" t="str">
        <f t="shared" ref="D20:H20" ca="1" si="5">IFERROR(IF(D19="","",D19-D18),"")</f>
        <v/>
      </c>
      <c r="E20" s="130" t="str">
        <f t="shared" ca="1" si="5"/>
        <v/>
      </c>
      <c r="F20" s="130" t="str">
        <f t="shared" ca="1" si="5"/>
        <v/>
      </c>
      <c r="G20" s="130" t="str">
        <f t="shared" ca="1" si="5"/>
        <v/>
      </c>
      <c r="H20" s="129" t="str">
        <f t="shared" ca="1" si="5"/>
        <v/>
      </c>
      <c r="I20" s="136">
        <f ca="1">I19-I18</f>
        <v>0</v>
      </c>
    </row>
    <row r="21" spans="2:12" ht="15" customHeight="1" thickBot="1" x14ac:dyDescent="0.4">
      <c r="B21" s="217" t="s">
        <v>17</v>
      </c>
      <c r="C21" s="66"/>
      <c r="D21" s="392" t="s">
        <v>17</v>
      </c>
      <c r="E21" s="389"/>
      <c r="F21" s="389"/>
      <c r="G21" s="389"/>
      <c r="H21" s="411"/>
      <c r="I21" s="391"/>
    </row>
    <row r="22" spans="2:12" ht="15" customHeight="1" x14ac:dyDescent="0.35">
      <c r="B22" s="9" t="s">
        <v>42</v>
      </c>
      <c r="C22" s="67"/>
      <c r="D22" s="156" t="str">
        <f ca="1">IFERROR(IF(SUMIF(INDIRECT("PPA."&amp;HOUR(D$11)&amp;"!$D:$D"),$J22,INDIRECT("PPA."&amp;HOUR(D$11)&amp;"!$F:$F"))=0,"",SUMIF(INDIRECT("PPA."&amp;HOUR(D$11)&amp;"!$D:$D"),$J22,INDIRECT("PPA."&amp;HOUR(D$11)&amp;"!$F:$F"))),"")</f>
        <v/>
      </c>
      <c r="E22" s="123" t="str">
        <f t="shared" ref="E22:H22" ca="1" si="6">IFERROR(IF(SUMIF(INDIRECT("PPA."&amp;HOUR(E$11)&amp;"!$D:$D"),$J22,INDIRECT("PPA."&amp;HOUR(E$11)&amp;"!$F:$F"))=0,"",SUMIF(INDIRECT("PPA."&amp;HOUR(E$11)&amp;"!$D:$D"),$J22,INDIRECT("PPA."&amp;HOUR(E$11)&amp;"!$F:$F"))),"")</f>
        <v/>
      </c>
      <c r="F22" s="123" t="str">
        <f t="shared" ca="1" si="6"/>
        <v/>
      </c>
      <c r="G22" s="123" t="str">
        <f t="shared" ca="1" si="6"/>
        <v/>
      </c>
      <c r="H22" s="23" t="str">
        <f t="shared" ca="1" si="6"/>
        <v/>
      </c>
      <c r="I22" s="134" t="str">
        <f ca="1">IFERROR(SUMIF(INDIRECT("PPA"&amp;"!$D:$D"),$J22,INDIRECT("PPA"&amp;"!$F:$F")),"")</f>
        <v/>
      </c>
      <c r="J22" s="187">
        <v>100440</v>
      </c>
    </row>
    <row r="23" spans="2:12" ht="15" customHeight="1" thickBot="1" x14ac:dyDescent="0.4">
      <c r="B23" s="9" t="s">
        <v>41</v>
      </c>
      <c r="C23" s="67"/>
      <c r="D23" s="157" t="str">
        <f ca="1">IF(OR(D22=0,D22=""),"",SUM(D22:$D$22))</f>
        <v/>
      </c>
      <c r="E23" s="133" t="str">
        <f ca="1">IF(OR(E22=0,E22=""),"",SUM(D22:$E$22))</f>
        <v/>
      </c>
      <c r="F23" s="133" t="str">
        <f ca="1">IF(OR(F22=0,F22=""),"",SUM($E22:F$22))</f>
        <v/>
      </c>
      <c r="G23" s="133" t="str">
        <f ca="1">IF(OR(G22=0,G22=""),"",SUM($E22:G$22))</f>
        <v/>
      </c>
      <c r="H23" s="23" t="str">
        <f ca="1">IF(OR(H22=0,H22=""),"",SUM($E22:H$22))</f>
        <v/>
      </c>
      <c r="I23" s="137">
        <f ca="1">MAX(D23:H23)</f>
        <v>0</v>
      </c>
    </row>
    <row r="24" spans="2:12" ht="15" customHeight="1" thickBot="1" x14ac:dyDescent="0.4">
      <c r="B24" s="217" t="s">
        <v>43</v>
      </c>
      <c r="C24" s="66"/>
      <c r="D24" s="392" t="s">
        <v>43</v>
      </c>
      <c r="E24" s="389"/>
      <c r="F24" s="389"/>
      <c r="G24" s="389"/>
      <c r="H24" s="389"/>
      <c r="I24" s="391"/>
    </row>
    <row r="25" spans="2:12" ht="15" customHeight="1" thickBot="1" x14ac:dyDescent="0.4">
      <c r="B25" s="9" t="s">
        <v>46</v>
      </c>
      <c r="C25" s="67"/>
      <c r="D25" s="161" t="str">
        <f ca="1">IFERROR(D19-D23,"")</f>
        <v/>
      </c>
      <c r="E25" s="161" t="str">
        <f t="shared" ref="E25:H25" ca="1" si="7">IFERROR(E19-E23,"")</f>
        <v/>
      </c>
      <c r="F25" s="161" t="str">
        <f t="shared" ca="1" si="7"/>
        <v/>
      </c>
      <c r="G25" s="161" t="str">
        <f t="shared" ca="1" si="7"/>
        <v/>
      </c>
      <c r="H25" s="161" t="str">
        <f t="shared" ca="1" si="7"/>
        <v/>
      </c>
      <c r="I25" s="162">
        <f ca="1">IFERROR(I19-I23,"")</f>
        <v>0</v>
      </c>
    </row>
    <row r="26" spans="2:12" ht="15" customHeight="1" thickBot="1" x14ac:dyDescent="0.4">
      <c r="B26" s="217" t="s">
        <v>5</v>
      </c>
      <c r="C26" s="66"/>
      <c r="D26" s="388" t="s">
        <v>5</v>
      </c>
      <c r="E26" s="389"/>
      <c r="F26" s="390"/>
      <c r="G26" s="389"/>
      <c r="H26" s="389"/>
      <c r="I26" s="391"/>
      <c r="K26" s="409" t="s">
        <v>79</v>
      </c>
      <c r="L26" s="410"/>
    </row>
    <row r="27" spans="2:12" ht="15" customHeight="1" x14ac:dyDescent="0.35">
      <c r="B27" s="9" t="s">
        <v>15</v>
      </c>
      <c r="C27" s="212"/>
      <c r="D27" s="167" t="str">
        <f t="shared" ref="D27:H31" ca="1" si="8">IFERROR(IF(SUMIF(INDIRECT("PPA."&amp;HOUR(D$11)&amp;"!$D:$D"),$J27,INDIRECT("PPA."&amp;HOUR(D$11)&amp;"!$H:$H"))=0,"",SUMIF(INDIRECT("PPA."&amp;HOUR(D$11)&amp;"!$D:$D"),$J27,INDIRECT("PPA."&amp;HOUR(D$11)&amp;"!$H:$H"))),"")</f>
        <v/>
      </c>
      <c r="E27" s="123" t="str">
        <f t="shared" ca="1" si="8"/>
        <v/>
      </c>
      <c r="F27" s="25" t="str">
        <f t="shared" ca="1" si="8"/>
        <v/>
      </c>
      <c r="G27" s="123" t="str">
        <f t="shared" ca="1" si="8"/>
        <v/>
      </c>
      <c r="H27" s="125" t="str">
        <f t="shared" ca="1" si="8"/>
        <v/>
      </c>
      <c r="I27" s="202">
        <f ca="1">SUM(D27:H27)</f>
        <v>0</v>
      </c>
      <c r="J27" s="187">
        <v>100405</v>
      </c>
      <c r="K27" s="154">
        <f>C27*4</f>
        <v>0</v>
      </c>
      <c r="L27" s="26">
        <f ca="1">SUM(D27:H27)</f>
        <v>0</v>
      </c>
    </row>
    <row r="28" spans="2:12" ht="15" customHeight="1" x14ac:dyDescent="0.35">
      <c r="B28" s="9" t="s">
        <v>6</v>
      </c>
      <c r="C28" s="179"/>
      <c r="D28" s="168" t="str">
        <f t="shared" ca="1" si="8"/>
        <v/>
      </c>
      <c r="E28" s="124" t="str">
        <f t="shared" ca="1" si="8"/>
        <v/>
      </c>
      <c r="F28" s="23" t="str">
        <f t="shared" ca="1" si="8"/>
        <v/>
      </c>
      <c r="G28" s="124" t="str">
        <f t="shared" ca="1" si="8"/>
        <v/>
      </c>
      <c r="H28" s="126" t="str">
        <f t="shared" ca="1" si="8"/>
        <v/>
      </c>
      <c r="I28" s="150">
        <f t="shared" ref="I28:I44" ca="1" si="9">SUM(D28:H28)</f>
        <v>0</v>
      </c>
      <c r="J28" s="187">
        <v>100400</v>
      </c>
      <c r="K28" s="102">
        <f t="shared" ref="K28:K44" si="10">C28*4</f>
        <v>0</v>
      </c>
      <c r="L28" s="24">
        <f t="shared" ref="L28:L44" ca="1" si="11">SUM(D28:H28)</f>
        <v>0</v>
      </c>
    </row>
    <row r="29" spans="2:12" ht="15" customHeight="1" x14ac:dyDescent="0.35">
      <c r="B29" s="9" t="s">
        <v>7</v>
      </c>
      <c r="C29" s="179"/>
      <c r="D29" s="168" t="str">
        <f t="shared" ca="1" si="8"/>
        <v/>
      </c>
      <c r="E29" s="124" t="str">
        <f t="shared" ca="1" si="8"/>
        <v/>
      </c>
      <c r="F29" s="23" t="str">
        <f t="shared" ca="1" si="8"/>
        <v/>
      </c>
      <c r="G29" s="124" t="str">
        <f t="shared" ca="1" si="8"/>
        <v/>
      </c>
      <c r="H29" s="126" t="str">
        <f t="shared" ca="1" si="8"/>
        <v/>
      </c>
      <c r="I29" s="150">
        <f t="shared" ca="1" si="9"/>
        <v>0</v>
      </c>
      <c r="J29" s="187">
        <v>100020</v>
      </c>
      <c r="K29" s="102">
        <f t="shared" si="10"/>
        <v>0</v>
      </c>
      <c r="L29" s="24">
        <f t="shared" ca="1" si="11"/>
        <v>0</v>
      </c>
    </row>
    <row r="30" spans="2:12" ht="15" customHeight="1" x14ac:dyDescent="0.35">
      <c r="B30" s="9" t="s">
        <v>8</v>
      </c>
      <c r="C30" s="179"/>
      <c r="D30" s="168" t="str">
        <f t="shared" ca="1" si="8"/>
        <v/>
      </c>
      <c r="E30" s="124" t="str">
        <f t="shared" ca="1" si="8"/>
        <v/>
      </c>
      <c r="F30" s="23" t="str">
        <f t="shared" ca="1" si="8"/>
        <v/>
      </c>
      <c r="G30" s="124" t="str">
        <f t="shared" ca="1" si="8"/>
        <v/>
      </c>
      <c r="H30" s="126" t="str">
        <f t="shared" ca="1" si="8"/>
        <v/>
      </c>
      <c r="I30" s="150">
        <f t="shared" ca="1" si="9"/>
        <v>0</v>
      </c>
      <c r="J30" s="187">
        <v>100404</v>
      </c>
      <c r="K30" s="102">
        <f t="shared" si="10"/>
        <v>0</v>
      </c>
      <c r="L30" s="24">
        <f t="shared" ca="1" si="11"/>
        <v>0</v>
      </c>
    </row>
    <row r="31" spans="2:12" ht="15" customHeight="1" thickBot="1" x14ac:dyDescent="0.4">
      <c r="B31" s="9" t="s">
        <v>9</v>
      </c>
      <c r="C31" s="179"/>
      <c r="D31" s="168" t="str">
        <f t="shared" ca="1" si="8"/>
        <v/>
      </c>
      <c r="E31" s="124" t="str">
        <f t="shared" ca="1" si="8"/>
        <v/>
      </c>
      <c r="F31" s="23" t="str">
        <f t="shared" ca="1" si="8"/>
        <v/>
      </c>
      <c r="G31" s="124" t="str">
        <f t="shared" ca="1" si="8"/>
        <v/>
      </c>
      <c r="H31" s="126" t="str">
        <f t="shared" ca="1" si="8"/>
        <v/>
      </c>
      <c r="I31" s="205">
        <f t="shared" ca="1" si="9"/>
        <v>0</v>
      </c>
      <c r="J31" s="187">
        <v>100460</v>
      </c>
      <c r="K31" s="163">
        <f t="shared" si="10"/>
        <v>0</v>
      </c>
      <c r="L31" s="79">
        <f t="shared" ca="1" si="11"/>
        <v>0</v>
      </c>
    </row>
    <row r="32" spans="2:12" ht="15" customHeight="1" thickBot="1" x14ac:dyDescent="0.4">
      <c r="B32" s="127" t="s">
        <v>28</v>
      </c>
      <c r="C32" s="155"/>
      <c r="D32" s="167">
        <f ca="1">SUM(D27:D31)</f>
        <v>0</v>
      </c>
      <c r="E32" s="123">
        <f ca="1">SUM(E27:E31)</f>
        <v>0</v>
      </c>
      <c r="F32" s="25">
        <f ca="1">SUM(F27:F31)</f>
        <v>0</v>
      </c>
      <c r="G32" s="123">
        <f ca="1">SUM(G27:G31)</f>
        <v>0</v>
      </c>
      <c r="H32" s="125">
        <f t="shared" ref="H32" ca="1" si="12">SUM(H27:H31)</f>
        <v>0</v>
      </c>
      <c r="I32" s="202">
        <f t="shared" ca="1" si="9"/>
        <v>0</v>
      </c>
      <c r="K32" s="164">
        <f t="shared" si="10"/>
        <v>0</v>
      </c>
      <c r="L32" s="131">
        <f t="shared" ca="1" si="11"/>
        <v>0</v>
      </c>
    </row>
    <row r="33" spans="2:12" ht="15" customHeight="1" x14ac:dyDescent="0.35">
      <c r="B33" s="9" t="s">
        <v>1</v>
      </c>
      <c r="C33" s="65"/>
      <c r="D33" s="167" t="str">
        <f t="shared" ref="D33:E35" ca="1" si="13">IFERROR(IF(SUMIF(INDIRECT("PPA."&amp;HOUR(D$11)&amp;"!$D:$D"),$J33,INDIRECT("PPA."&amp;HOUR(D$11)&amp;"!$H:$H"))=0,"",SUMIF(INDIRECT("PPA."&amp;HOUR(D$11)&amp;"!$D:$D"),$J33,INDIRECT("PPA."&amp;HOUR(D$11)&amp;"!$H:$H"))),"")</f>
        <v/>
      </c>
      <c r="E33" s="123" t="str">
        <f t="shared" ca="1" si="13"/>
        <v/>
      </c>
      <c r="F33" s="25" t="str">
        <f t="shared" ref="F33:H35" ca="1" si="14">IFERROR(IF(SUMIF(INDIRECT("PPA."&amp;HOUR(F$11)&amp;"!$D:$D"),$J33,INDIRECT("PPA."&amp;HOUR(F$11)&amp;"!$H:$H"))=0,"",SUMIF(INDIRECT("PPA."&amp;HOUR(F$11)&amp;"!$D:$D"),$J33,INDIRECT("PPA."&amp;HOUR(F$11)&amp;"!$H:$H"))),"")</f>
        <v/>
      </c>
      <c r="G33" s="123" t="str">
        <f t="shared" ca="1" si="14"/>
        <v/>
      </c>
      <c r="H33" s="125" t="str">
        <f t="shared" ca="1" si="14"/>
        <v/>
      </c>
      <c r="I33" s="202">
        <f t="shared" ca="1" si="9"/>
        <v>0</v>
      </c>
      <c r="J33" s="187">
        <v>100440</v>
      </c>
      <c r="K33" s="154">
        <f t="shared" si="10"/>
        <v>0</v>
      </c>
      <c r="L33" s="26">
        <f t="shared" ca="1" si="11"/>
        <v>0</v>
      </c>
    </row>
    <row r="34" spans="2:12" ht="15" customHeight="1" x14ac:dyDescent="0.35">
      <c r="B34" s="9" t="s">
        <v>22</v>
      </c>
      <c r="C34" s="65"/>
      <c r="D34" s="168" t="str">
        <f t="shared" ca="1" si="13"/>
        <v/>
      </c>
      <c r="E34" s="124" t="str">
        <f t="shared" ca="1" si="13"/>
        <v/>
      </c>
      <c r="F34" s="23" t="str">
        <f ca="1">IFERROR(IF(SUMIF(INDIRECT("PPA."&amp;HOUR(F$11)&amp;"!$D:$D"),$J34,INDIRECT("PPA."&amp;HOUR(F$11)&amp;"!$H:$H"))=0,"",SUMIF(INDIRECT("PPA."&amp;HOUR(F$11)&amp;"!$D:$D"),$J34,INDIRECT("PPA."&amp;HOUR(F$11)&amp;"!$H:$H"))),"")</f>
        <v/>
      </c>
      <c r="G34" s="124" t="str">
        <f t="shared" ca="1" si="14"/>
        <v/>
      </c>
      <c r="H34" s="126" t="str">
        <f t="shared" ca="1" si="14"/>
        <v/>
      </c>
      <c r="I34" s="150">
        <f t="shared" ca="1" si="9"/>
        <v>0</v>
      </c>
      <c r="J34" s="187">
        <v>100021</v>
      </c>
      <c r="K34" s="102">
        <f t="shared" si="10"/>
        <v>0</v>
      </c>
      <c r="L34" s="24">
        <f t="shared" ca="1" si="11"/>
        <v>0</v>
      </c>
    </row>
    <row r="35" spans="2:12" ht="15" customHeight="1" thickBot="1" x14ac:dyDescent="0.4">
      <c r="B35" s="9" t="s">
        <v>25</v>
      </c>
      <c r="C35" s="65"/>
      <c r="D35" s="168" t="str">
        <f t="shared" ca="1" si="13"/>
        <v/>
      </c>
      <c r="E35" s="124" t="str">
        <f t="shared" ca="1" si="13"/>
        <v/>
      </c>
      <c r="F35" s="23" t="str">
        <f t="shared" ca="1" si="14"/>
        <v/>
      </c>
      <c r="G35" s="124" t="str">
        <f t="shared" ca="1" si="14"/>
        <v/>
      </c>
      <c r="H35" s="126" t="str">
        <f t="shared" ca="1" si="14"/>
        <v/>
      </c>
      <c r="I35" s="205">
        <f t="shared" ca="1" si="9"/>
        <v>0</v>
      </c>
      <c r="J35" s="187">
        <v>100461</v>
      </c>
      <c r="K35" s="163">
        <f t="shared" si="10"/>
        <v>0</v>
      </c>
      <c r="L35" s="79">
        <f t="shared" ca="1" si="11"/>
        <v>0</v>
      </c>
    </row>
    <row r="36" spans="2:12" ht="15" customHeight="1" thickBot="1" x14ac:dyDescent="0.4">
      <c r="B36" s="127" t="s">
        <v>29</v>
      </c>
      <c r="C36" s="155"/>
      <c r="D36" s="167">
        <f ca="1">SUM(D33:D35)</f>
        <v>0</v>
      </c>
      <c r="E36" s="123">
        <f t="shared" ref="E36:H36" ca="1" si="15">SUM(E33:E35)</f>
        <v>0</v>
      </c>
      <c r="F36" s="25">
        <f t="shared" ca="1" si="15"/>
        <v>0</v>
      </c>
      <c r="G36" s="123">
        <f t="shared" ca="1" si="15"/>
        <v>0</v>
      </c>
      <c r="H36" s="125">
        <f t="shared" ca="1" si="15"/>
        <v>0</v>
      </c>
      <c r="I36" s="202">
        <f t="shared" ca="1" si="9"/>
        <v>0</v>
      </c>
      <c r="K36" s="164">
        <f t="shared" si="10"/>
        <v>0</v>
      </c>
      <c r="L36" s="131">
        <f t="shared" ca="1" si="11"/>
        <v>0</v>
      </c>
    </row>
    <row r="37" spans="2:12" ht="15" customHeight="1" x14ac:dyDescent="0.35">
      <c r="B37" s="62" t="s">
        <v>80</v>
      </c>
      <c r="C37" s="65"/>
      <c r="D37" s="167" t="str">
        <f t="shared" ref="D37:H42" ca="1" si="16">IFERROR(IF(SUMIF(INDIRECT("PPA."&amp;HOUR(D$11)&amp;"!$D:$D"),$J37,INDIRECT("PPA."&amp;HOUR(D$11)&amp;"!$H:$H"))=0,"",SUMIF(INDIRECT("PPA."&amp;HOUR(D$11)&amp;"!$D:$D"),$J37,INDIRECT("PPA."&amp;HOUR(D$11)&amp;"!$H:$H"))),"")</f>
        <v/>
      </c>
      <c r="E37" s="123" t="str">
        <f t="shared" ca="1" si="16"/>
        <v/>
      </c>
      <c r="F37" s="25" t="str">
        <f t="shared" ca="1" si="16"/>
        <v/>
      </c>
      <c r="G37" s="123" t="str">
        <f t="shared" ca="1" si="16"/>
        <v/>
      </c>
      <c r="H37" s="125" t="str">
        <f t="shared" ca="1" si="16"/>
        <v/>
      </c>
      <c r="I37" s="202">
        <f t="shared" ca="1" si="9"/>
        <v>0</v>
      </c>
      <c r="J37" s="187">
        <v>100465</v>
      </c>
      <c r="K37" s="154">
        <f t="shared" si="10"/>
        <v>0</v>
      </c>
      <c r="L37" s="26">
        <f t="shared" ca="1" si="11"/>
        <v>0</v>
      </c>
    </row>
    <row r="38" spans="2:12" ht="15" customHeight="1" x14ac:dyDescent="0.35">
      <c r="B38" s="61" t="s">
        <v>23</v>
      </c>
      <c r="C38" s="65"/>
      <c r="D38" s="168" t="str">
        <f t="shared" ca="1" si="16"/>
        <v/>
      </c>
      <c r="E38" s="124" t="str">
        <f t="shared" ca="1" si="16"/>
        <v/>
      </c>
      <c r="F38" s="23" t="str">
        <f t="shared" ca="1" si="16"/>
        <v/>
      </c>
      <c r="G38" s="124" t="str">
        <f t="shared" ca="1" si="16"/>
        <v/>
      </c>
      <c r="H38" s="126" t="str">
        <f t="shared" ca="1" si="16"/>
        <v/>
      </c>
      <c r="I38" s="150">
        <f t="shared" ca="1" si="9"/>
        <v>0</v>
      </c>
      <c r="J38" s="187">
        <v>100464</v>
      </c>
      <c r="K38" s="102">
        <f t="shared" si="10"/>
        <v>0</v>
      </c>
      <c r="L38" s="24">
        <f t="shared" ca="1" si="11"/>
        <v>0</v>
      </c>
    </row>
    <row r="39" spans="2:12" ht="15" customHeight="1" x14ac:dyDescent="0.35">
      <c r="B39" s="61" t="s">
        <v>11</v>
      </c>
      <c r="C39" s="65"/>
      <c r="D39" s="168" t="str">
        <f t="shared" ca="1" si="16"/>
        <v/>
      </c>
      <c r="E39" s="124" t="str">
        <f t="shared" ca="1" si="16"/>
        <v/>
      </c>
      <c r="F39" s="23" t="str">
        <f t="shared" ca="1" si="16"/>
        <v/>
      </c>
      <c r="G39" s="124" t="str">
        <f t="shared" ca="1" si="16"/>
        <v/>
      </c>
      <c r="H39" s="126" t="str">
        <f t="shared" ca="1" si="16"/>
        <v/>
      </c>
      <c r="I39" s="150">
        <f t="shared" ca="1" si="9"/>
        <v>0</v>
      </c>
      <c r="J39" s="187">
        <v>100410</v>
      </c>
      <c r="K39" s="102">
        <v>0</v>
      </c>
      <c r="L39" s="24">
        <v>0</v>
      </c>
    </row>
    <row r="40" spans="2:12" ht="15" customHeight="1" x14ac:dyDescent="0.35">
      <c r="B40" s="9" t="s">
        <v>19</v>
      </c>
      <c r="C40" s="65"/>
      <c r="D40" s="168" t="str">
        <f t="shared" ca="1" si="16"/>
        <v/>
      </c>
      <c r="E40" s="124" t="str">
        <f t="shared" ca="1" si="16"/>
        <v/>
      </c>
      <c r="F40" s="23" t="str">
        <f t="shared" ca="1" si="16"/>
        <v/>
      </c>
      <c r="G40" s="124" t="str">
        <f t="shared" ca="1" si="16"/>
        <v/>
      </c>
      <c r="H40" s="126" t="str">
        <f t="shared" ca="1" si="16"/>
        <v/>
      </c>
      <c r="I40" s="150">
        <f t="shared" ca="1" si="9"/>
        <v>0</v>
      </c>
      <c r="J40" s="187">
        <v>100429</v>
      </c>
      <c r="K40" s="102">
        <f t="shared" si="10"/>
        <v>0</v>
      </c>
      <c r="L40" s="24">
        <f t="shared" ca="1" si="11"/>
        <v>0</v>
      </c>
    </row>
    <row r="41" spans="2:12" ht="15" customHeight="1" x14ac:dyDescent="0.35">
      <c r="B41" s="9" t="s">
        <v>24</v>
      </c>
      <c r="C41" s="65"/>
      <c r="D41" s="168" t="str">
        <f t="shared" ca="1" si="16"/>
        <v/>
      </c>
      <c r="E41" s="124" t="str">
        <f t="shared" ca="1" si="16"/>
        <v/>
      </c>
      <c r="F41" s="23" t="str">
        <f t="shared" ca="1" si="16"/>
        <v/>
      </c>
      <c r="G41" s="124" t="str">
        <f t="shared" ca="1" si="16"/>
        <v/>
      </c>
      <c r="H41" s="126" t="str">
        <f t="shared" ca="1" si="16"/>
        <v/>
      </c>
      <c r="I41" s="150">
        <f t="shared" ca="1" si="9"/>
        <v>0</v>
      </c>
      <c r="J41" s="187">
        <v>100470</v>
      </c>
      <c r="K41" s="102">
        <f t="shared" si="10"/>
        <v>0</v>
      </c>
      <c r="L41" s="24">
        <f t="shared" ca="1" si="11"/>
        <v>0</v>
      </c>
    </row>
    <row r="42" spans="2:12" ht="15" customHeight="1" thickBot="1" x14ac:dyDescent="0.4">
      <c r="B42" s="60" t="s">
        <v>13</v>
      </c>
      <c r="C42" s="65"/>
      <c r="D42" s="168" t="str">
        <f t="shared" ca="1" si="16"/>
        <v/>
      </c>
      <c r="E42" s="124" t="str">
        <f t="shared" ca="1" si="16"/>
        <v/>
      </c>
      <c r="F42" s="23" t="str">
        <f t="shared" ca="1" si="16"/>
        <v/>
      </c>
      <c r="G42" s="124" t="str">
        <f t="shared" ca="1" si="16"/>
        <v/>
      </c>
      <c r="H42" s="126" t="str">
        <f t="shared" ca="1" si="16"/>
        <v/>
      </c>
      <c r="I42" s="205">
        <f t="shared" ca="1" si="9"/>
        <v>0</v>
      </c>
      <c r="J42" s="187">
        <v>100470</v>
      </c>
      <c r="K42" s="163">
        <f t="shared" si="10"/>
        <v>0</v>
      </c>
      <c r="L42" s="79">
        <f t="shared" ca="1" si="11"/>
        <v>0</v>
      </c>
    </row>
    <row r="43" spans="2:12" ht="15" customHeight="1" thickBot="1" x14ac:dyDescent="0.4">
      <c r="B43" s="127" t="s">
        <v>30</v>
      </c>
      <c r="C43" s="155"/>
      <c r="D43" s="167">
        <f ca="1">SUM(D37:D42)</f>
        <v>0</v>
      </c>
      <c r="E43" s="123">
        <f t="shared" ref="E43:H43" ca="1" si="17">SUM(E37:E42)</f>
        <v>0</v>
      </c>
      <c r="F43" s="25">
        <f t="shared" ca="1" si="17"/>
        <v>0</v>
      </c>
      <c r="G43" s="123">
        <f t="shared" ca="1" si="17"/>
        <v>0</v>
      </c>
      <c r="H43" s="125">
        <f t="shared" ca="1" si="17"/>
        <v>0</v>
      </c>
      <c r="I43" s="202">
        <f t="shared" ca="1" si="9"/>
        <v>0</v>
      </c>
      <c r="J43" s="187">
        <v>0</v>
      </c>
      <c r="K43" s="164">
        <f t="shared" si="10"/>
        <v>0</v>
      </c>
      <c r="L43" s="131">
        <f t="shared" ca="1" si="11"/>
        <v>0</v>
      </c>
    </row>
    <row r="44" spans="2:12" ht="15" customHeight="1" thickBot="1" x14ac:dyDescent="0.4">
      <c r="B44" s="9" t="s">
        <v>4</v>
      </c>
      <c r="C44" s="65">
        <f>SUM(C32,C36,C43)</f>
        <v>0</v>
      </c>
      <c r="D44" s="167">
        <f ca="1">SUM(D43,D36,D32)</f>
        <v>0</v>
      </c>
      <c r="E44" s="123">
        <f t="shared" ref="E44:H44" ca="1" si="18">SUM(E43,E36,E32)</f>
        <v>0</v>
      </c>
      <c r="F44" s="25">
        <f t="shared" ca="1" si="18"/>
        <v>0</v>
      </c>
      <c r="G44" s="123">
        <f t="shared" ca="1" si="18"/>
        <v>0</v>
      </c>
      <c r="H44" s="125">
        <f t="shared" ca="1" si="18"/>
        <v>0</v>
      </c>
      <c r="I44" s="151">
        <f t="shared" ca="1" si="9"/>
        <v>0</v>
      </c>
      <c r="K44" s="164">
        <f t="shared" si="10"/>
        <v>0</v>
      </c>
      <c r="L44" s="131">
        <f t="shared" ca="1" si="11"/>
        <v>0</v>
      </c>
    </row>
    <row r="45" spans="2:12" ht="15" customHeight="1" thickBot="1" x14ac:dyDescent="0.4">
      <c r="B45" s="209" t="s">
        <v>44</v>
      </c>
      <c r="C45" s="68"/>
      <c r="D45" s="413" t="s">
        <v>44</v>
      </c>
      <c r="E45" s="414"/>
      <c r="F45" s="414"/>
      <c r="G45" s="414"/>
      <c r="H45" s="414"/>
      <c r="I45" s="415"/>
    </row>
    <row r="46" spans="2:12" ht="15" customHeight="1" x14ac:dyDescent="0.35">
      <c r="B46" s="9" t="s">
        <v>15</v>
      </c>
      <c r="C46" s="65"/>
      <c r="D46" s="156" t="str">
        <f t="shared" ref="D46:D51" ca="1" si="19">IFERROR(D$16/D27,"")</f>
        <v/>
      </c>
      <c r="E46" s="123" t="str">
        <f ca="1">IFERROR(E$16/E27,"")</f>
        <v/>
      </c>
      <c r="F46" s="123" t="str">
        <f ca="1">IFERROR(F$16/F27,"")</f>
        <v/>
      </c>
      <c r="G46" s="121" t="str">
        <f ca="1">IFERROR(G$16/G27,"")</f>
        <v/>
      </c>
      <c r="H46" s="25" t="str">
        <f ca="1">IFERROR(H$16/H27,"")</f>
        <v/>
      </c>
      <c r="I46" s="134">
        <f ca="1">SUM(D46:H46)</f>
        <v>0</v>
      </c>
    </row>
    <row r="47" spans="2:12" ht="15" customHeight="1" x14ac:dyDescent="0.35">
      <c r="B47" s="9" t="s">
        <v>6</v>
      </c>
      <c r="C47" s="65"/>
      <c r="D47" s="159" t="str">
        <f t="shared" ca="1" si="19"/>
        <v/>
      </c>
      <c r="E47" s="124" t="str">
        <f t="shared" ref="E47:H51" ca="1" si="20">IFERROR(E$16/E28,"")</f>
        <v/>
      </c>
      <c r="F47" s="124" t="str">
        <f t="shared" ca="1" si="20"/>
        <v/>
      </c>
      <c r="G47" s="122" t="str">
        <f t="shared" ca="1" si="20"/>
        <v/>
      </c>
      <c r="H47" s="23" t="str">
        <f t="shared" ca="1" si="20"/>
        <v/>
      </c>
      <c r="I47" s="135">
        <f t="shared" ref="I47:I61" ca="1" si="21">SUM(D47:H47)</f>
        <v>0</v>
      </c>
    </row>
    <row r="48" spans="2:12" ht="15" customHeight="1" x14ac:dyDescent="0.35">
      <c r="B48" s="9" t="s">
        <v>7</v>
      </c>
      <c r="C48" s="65"/>
      <c r="D48" s="159" t="str">
        <f t="shared" ca="1" si="19"/>
        <v/>
      </c>
      <c r="E48" s="124" t="str">
        <f t="shared" ca="1" si="20"/>
        <v/>
      </c>
      <c r="F48" s="124" t="str">
        <f t="shared" ca="1" si="20"/>
        <v/>
      </c>
      <c r="G48" s="122" t="str">
        <f t="shared" ca="1" si="20"/>
        <v/>
      </c>
      <c r="H48" s="23" t="str">
        <f t="shared" ca="1" si="20"/>
        <v/>
      </c>
      <c r="I48" s="135">
        <f t="shared" ca="1" si="21"/>
        <v>0</v>
      </c>
    </row>
    <row r="49" spans="2:12" ht="15" customHeight="1" x14ac:dyDescent="0.35">
      <c r="B49" s="9" t="s">
        <v>8</v>
      </c>
      <c r="C49" s="65"/>
      <c r="D49" s="159" t="str">
        <f t="shared" ca="1" si="19"/>
        <v/>
      </c>
      <c r="E49" s="124" t="str">
        <f t="shared" ca="1" si="20"/>
        <v/>
      </c>
      <c r="F49" s="124" t="str">
        <f t="shared" ca="1" si="20"/>
        <v/>
      </c>
      <c r="G49" s="122" t="str">
        <f t="shared" ca="1" si="20"/>
        <v/>
      </c>
      <c r="H49" s="23" t="str">
        <f t="shared" ca="1" si="20"/>
        <v/>
      </c>
      <c r="I49" s="135">
        <f t="shared" ca="1" si="21"/>
        <v>0</v>
      </c>
    </row>
    <row r="50" spans="2:12" ht="15" customHeight="1" thickBot="1" x14ac:dyDescent="0.4">
      <c r="B50" s="9" t="s">
        <v>9</v>
      </c>
      <c r="C50" s="65"/>
      <c r="D50" s="159" t="str">
        <f t="shared" ca="1" si="19"/>
        <v/>
      </c>
      <c r="E50" s="124" t="str">
        <f t="shared" ca="1" si="20"/>
        <v/>
      </c>
      <c r="F50" s="124" t="str">
        <f t="shared" ca="1" si="20"/>
        <v/>
      </c>
      <c r="G50" s="122" t="str">
        <f t="shared" ca="1" si="20"/>
        <v/>
      </c>
      <c r="H50" s="23" t="str">
        <f t="shared" ca="1" si="20"/>
        <v/>
      </c>
      <c r="I50" s="135">
        <f t="shared" ca="1" si="21"/>
        <v>0</v>
      </c>
    </row>
    <row r="51" spans="2:12" ht="15" customHeight="1" thickBot="1" x14ac:dyDescent="0.4">
      <c r="B51" s="127" t="s">
        <v>28</v>
      </c>
      <c r="C51" s="155"/>
      <c r="D51" s="158" t="str">
        <f t="shared" ca="1" si="19"/>
        <v/>
      </c>
      <c r="E51" s="128" t="str">
        <f t="shared" ca="1" si="20"/>
        <v/>
      </c>
      <c r="F51" s="128" t="str">
        <f t="shared" ca="1" si="20"/>
        <v/>
      </c>
      <c r="G51" s="130" t="str">
        <f t="shared" ca="1" si="20"/>
        <v/>
      </c>
      <c r="H51" s="129" t="str">
        <f t="shared" ca="1" si="20"/>
        <v/>
      </c>
      <c r="I51" s="136">
        <f t="shared" ca="1" si="21"/>
        <v>0</v>
      </c>
    </row>
    <row r="52" spans="2:12" ht="15" customHeight="1" x14ac:dyDescent="0.35">
      <c r="B52" s="9" t="s">
        <v>1</v>
      </c>
      <c r="C52" s="65"/>
      <c r="D52" s="159" t="str">
        <f t="shared" ref="D52:H58" ca="1" si="22">IFERROR(D$22/D33,"")</f>
        <v/>
      </c>
      <c r="E52" s="124" t="str">
        <f ca="1">IFERROR(E$22/E33,"")</f>
        <v/>
      </c>
      <c r="F52" s="124" t="str">
        <f ca="1">IFERROR(F$22/F33,"")</f>
        <v/>
      </c>
      <c r="G52" s="122" t="str">
        <f ca="1">IFERROR(G$22/G33,"")</f>
        <v/>
      </c>
      <c r="H52" s="23" t="str">
        <f ca="1">IFERROR(H$22/H33,"")</f>
        <v/>
      </c>
      <c r="I52" s="135">
        <f t="shared" ca="1" si="21"/>
        <v>0</v>
      </c>
    </row>
    <row r="53" spans="2:12" ht="15" customHeight="1" x14ac:dyDescent="0.35">
      <c r="B53" s="9" t="s">
        <v>22</v>
      </c>
      <c r="C53" s="65"/>
      <c r="D53" s="159" t="str">
        <f t="shared" ca="1" si="22"/>
        <v/>
      </c>
      <c r="E53" s="124" t="str">
        <f t="shared" ref="E53:H57" ca="1" si="23">IFERROR(E$22/E34,"")</f>
        <v/>
      </c>
      <c r="F53" s="124" t="str">
        <f t="shared" ca="1" si="23"/>
        <v/>
      </c>
      <c r="G53" s="122" t="str">
        <f t="shared" ca="1" si="23"/>
        <v/>
      </c>
      <c r="H53" s="23" t="str">
        <f t="shared" ca="1" si="23"/>
        <v/>
      </c>
      <c r="I53" s="135">
        <f t="shared" ca="1" si="21"/>
        <v>0</v>
      </c>
    </row>
    <row r="54" spans="2:12" ht="15" customHeight="1" thickBot="1" x14ac:dyDescent="0.4">
      <c r="B54" s="9" t="s">
        <v>25</v>
      </c>
      <c r="C54" s="65"/>
      <c r="D54" s="159" t="str">
        <f t="shared" ca="1" si="22"/>
        <v/>
      </c>
      <c r="E54" s="124" t="str">
        <f t="shared" ca="1" si="23"/>
        <v/>
      </c>
      <c r="F54" s="124" t="str">
        <f t="shared" ca="1" si="23"/>
        <v/>
      </c>
      <c r="G54" s="122" t="str">
        <f t="shared" ca="1" si="23"/>
        <v/>
      </c>
      <c r="H54" s="23" t="str">
        <f t="shared" ca="1" si="23"/>
        <v/>
      </c>
      <c r="I54" s="135">
        <f t="shared" ca="1" si="21"/>
        <v>0</v>
      </c>
    </row>
    <row r="55" spans="2:12" ht="16" thickBot="1" x14ac:dyDescent="0.4">
      <c r="B55" s="127" t="s">
        <v>29</v>
      </c>
      <c r="C55" s="155"/>
      <c r="D55" s="158" t="str">
        <f t="shared" ca="1" si="22"/>
        <v/>
      </c>
      <c r="E55" s="128" t="str">
        <f t="shared" ca="1" si="23"/>
        <v/>
      </c>
      <c r="F55" s="128" t="str">
        <f t="shared" ca="1" si="23"/>
        <v/>
      </c>
      <c r="G55" s="130" t="str">
        <f t="shared" ca="1" si="23"/>
        <v/>
      </c>
      <c r="H55" s="129" t="str">
        <f t="shared" ca="1" si="23"/>
        <v/>
      </c>
      <c r="I55" s="136">
        <f t="shared" ca="1" si="21"/>
        <v>0</v>
      </c>
    </row>
    <row r="56" spans="2:12" ht="15" customHeight="1" x14ac:dyDescent="0.35">
      <c r="B56" s="62" t="s">
        <v>16</v>
      </c>
      <c r="C56" s="65"/>
      <c r="D56" s="159" t="str">
        <f t="shared" ca="1" si="22"/>
        <v/>
      </c>
      <c r="E56" s="124" t="str">
        <f t="shared" ca="1" si="23"/>
        <v/>
      </c>
      <c r="F56" s="124" t="str">
        <f t="shared" ca="1" si="23"/>
        <v/>
      </c>
      <c r="G56" s="122" t="str">
        <f t="shared" ca="1" si="23"/>
        <v/>
      </c>
      <c r="H56" s="23" t="str">
        <f t="shared" ca="1" si="23"/>
        <v/>
      </c>
      <c r="I56" s="135">
        <f t="shared" ca="1" si="21"/>
        <v>0</v>
      </c>
    </row>
    <row r="57" spans="2:12" ht="15" customHeight="1" x14ac:dyDescent="0.35">
      <c r="B57" s="61" t="s">
        <v>23</v>
      </c>
      <c r="C57" s="65"/>
      <c r="D57" s="159" t="str">
        <f t="shared" ca="1" si="22"/>
        <v/>
      </c>
      <c r="E57" s="124" t="str">
        <f t="shared" ca="1" si="23"/>
        <v/>
      </c>
      <c r="F57" s="124" t="str">
        <f t="shared" ca="1" si="23"/>
        <v/>
      </c>
      <c r="G57" s="122" t="str">
        <f t="shared" ca="1" si="23"/>
        <v/>
      </c>
      <c r="H57" s="23" t="str">
        <f t="shared" ca="1" si="23"/>
        <v/>
      </c>
      <c r="I57" s="135">
        <f t="shared" ca="1" si="21"/>
        <v>0</v>
      </c>
    </row>
    <row r="58" spans="2:12" ht="15" customHeight="1" x14ac:dyDescent="0.35">
      <c r="B58" s="61" t="s">
        <v>11</v>
      </c>
      <c r="C58" s="65"/>
      <c r="D58" s="168" t="str">
        <f t="shared" ca="1" si="22"/>
        <v/>
      </c>
      <c r="E58" s="124" t="str">
        <f t="shared" ca="1" si="22"/>
        <v/>
      </c>
      <c r="F58" s="23" t="str">
        <f t="shared" ca="1" si="22"/>
        <v/>
      </c>
      <c r="G58" s="124" t="str">
        <f t="shared" ca="1" si="22"/>
        <v/>
      </c>
      <c r="H58" s="122" t="str">
        <f t="shared" ca="1" si="22"/>
        <v/>
      </c>
      <c r="I58" s="135">
        <f t="shared" ca="1" si="21"/>
        <v>0</v>
      </c>
    </row>
    <row r="59" spans="2:12" ht="15" customHeight="1" x14ac:dyDescent="0.35">
      <c r="B59" s="9" t="s">
        <v>19</v>
      </c>
      <c r="C59" s="65"/>
      <c r="D59" s="159" t="str">
        <f t="shared" ref="D59:H60" ca="1" si="24">IFERROR(D$22/D40,"")</f>
        <v/>
      </c>
      <c r="E59" s="124" t="str">
        <f t="shared" ca="1" si="24"/>
        <v/>
      </c>
      <c r="F59" s="124" t="str">
        <f t="shared" ca="1" si="24"/>
        <v/>
      </c>
      <c r="G59" s="122" t="str">
        <f t="shared" ca="1" si="24"/>
        <v/>
      </c>
      <c r="H59" s="23" t="str">
        <f t="shared" ca="1" si="24"/>
        <v/>
      </c>
      <c r="I59" s="135">
        <f t="shared" ca="1" si="21"/>
        <v>0</v>
      </c>
      <c r="K59" s="203"/>
      <c r="L59" s="203"/>
    </row>
    <row r="60" spans="2:12" ht="15" customHeight="1" x14ac:dyDescent="0.35">
      <c r="B60" s="9" t="s">
        <v>24</v>
      </c>
      <c r="C60" s="65"/>
      <c r="D60" s="159" t="str">
        <f t="shared" ca="1" si="24"/>
        <v/>
      </c>
      <c r="E60" s="124" t="str">
        <f t="shared" ca="1" si="24"/>
        <v/>
      </c>
      <c r="F60" s="124" t="str">
        <f t="shared" ca="1" si="24"/>
        <v/>
      </c>
      <c r="G60" s="122" t="str">
        <f t="shared" ca="1" si="24"/>
        <v/>
      </c>
      <c r="H60" s="23" t="str">
        <f t="shared" ca="1" si="24"/>
        <v/>
      </c>
      <c r="I60" s="135">
        <f t="shared" ca="1" si="21"/>
        <v>0</v>
      </c>
      <c r="K60" s="203"/>
      <c r="L60" s="203"/>
    </row>
    <row r="61" spans="2:12" ht="15" customHeight="1" thickBot="1" x14ac:dyDescent="0.4">
      <c r="B61" s="60" t="s">
        <v>13</v>
      </c>
      <c r="C61" s="65"/>
      <c r="D61" s="168" t="str">
        <f t="shared" ref="D61:H61" ca="1" si="25">IFERROR(D$22/D42,"")</f>
        <v/>
      </c>
      <c r="E61" s="133" t="str">
        <f t="shared" ca="1" si="25"/>
        <v/>
      </c>
      <c r="F61" s="23" t="str">
        <f t="shared" ca="1" si="25"/>
        <v/>
      </c>
      <c r="G61" s="133" t="str">
        <f t="shared" ca="1" si="25"/>
        <v/>
      </c>
      <c r="H61" s="122" t="str">
        <f t="shared" ca="1" si="25"/>
        <v/>
      </c>
      <c r="I61" s="137">
        <f t="shared" ca="1" si="21"/>
        <v>0</v>
      </c>
      <c r="K61" s="204"/>
      <c r="L61" s="204"/>
    </row>
    <row r="62" spans="2:12" ht="15" customHeight="1" thickBot="1" x14ac:dyDescent="0.4">
      <c r="B62" s="127" t="s">
        <v>30</v>
      </c>
      <c r="C62" s="155"/>
      <c r="D62" s="156" t="str">
        <f ca="1">IFERROR(D$22/D42,"")</f>
        <v/>
      </c>
      <c r="E62" s="123" t="str">
        <f ca="1">IFERROR(E$22/E42,"")</f>
        <v/>
      </c>
      <c r="F62" s="123" t="str">
        <f ca="1">IFERROR(F$22/F42,"")</f>
        <v/>
      </c>
      <c r="G62" s="121" t="str">
        <f ca="1">IFERROR(G$22/G42,"")</f>
        <v/>
      </c>
      <c r="H62" s="25" t="str">
        <f ca="1">IFERROR(H$22/H42,"")</f>
        <v/>
      </c>
      <c r="I62" s="135">
        <f ca="1">SUM(D62:H62)</f>
        <v>0</v>
      </c>
      <c r="K62" s="203"/>
      <c r="L62" s="203"/>
    </row>
    <row r="63" spans="2:12" ht="15" customHeight="1" thickBot="1" x14ac:dyDescent="0.4">
      <c r="B63" s="209" t="s">
        <v>45</v>
      </c>
      <c r="C63" s="68"/>
      <c r="D63" s="413" t="s">
        <v>45</v>
      </c>
      <c r="E63" s="414"/>
      <c r="F63" s="414"/>
      <c r="G63" s="414"/>
      <c r="H63" s="414"/>
      <c r="I63" s="416"/>
      <c r="K63" s="203"/>
      <c r="L63" s="203"/>
    </row>
    <row r="64" spans="2:12" ht="15" customHeight="1" x14ac:dyDescent="0.35">
      <c r="B64" s="9" t="s">
        <v>46</v>
      </c>
      <c r="C64" s="165"/>
      <c r="D64" s="27" t="str">
        <f ca="1">IFERROR(D22/D44,"")</f>
        <v/>
      </c>
      <c r="E64" s="27" t="str">
        <f ca="1">IFERROR(E22/E44,"")</f>
        <v/>
      </c>
      <c r="F64" s="27" t="str">
        <f ca="1">IFERROR(F22/F44,"")</f>
        <v/>
      </c>
      <c r="G64" s="27" t="str">
        <f ca="1">IFERROR(G22/G44,"")</f>
        <v/>
      </c>
      <c r="H64" s="27" t="str">
        <f ca="1">IFERROR(H22/H44,"")</f>
        <v/>
      </c>
      <c r="I64" s="138">
        <f ca="1">IFERROR(I23/L44,0)</f>
        <v>0</v>
      </c>
      <c r="K64" s="203"/>
      <c r="L64" s="203"/>
    </row>
    <row r="65" spans="1:18" ht="15" customHeight="1" thickBot="1" x14ac:dyDescent="0.4">
      <c r="B65" s="10" t="s">
        <v>47</v>
      </c>
      <c r="C65" s="166">
        <f>C64</f>
        <v>0</v>
      </c>
      <c r="D65" s="153" t="str">
        <f ca="1">IFERROR(D23/SUM(D$44:$E44),"")</f>
        <v/>
      </c>
      <c r="E65" s="153" t="str">
        <f ca="1">IFERROR(E23/SUM($E$44:E44),"")</f>
        <v/>
      </c>
      <c r="F65" s="153" t="str">
        <f ca="1">IFERROR(F23/SUM($E$44:F44),"")</f>
        <v/>
      </c>
      <c r="G65" s="153" t="str">
        <f ca="1">IFERROR(G23/SUM($E$44:G44),"")</f>
        <v/>
      </c>
      <c r="H65" s="153" t="str">
        <f ca="1">IFERROR(H23/SUM($E$44:H44),"")</f>
        <v/>
      </c>
      <c r="I65" s="139">
        <f ca="1">I64</f>
        <v>0</v>
      </c>
    </row>
    <row r="66" spans="1:18" ht="15" thickTop="1" x14ac:dyDescent="0.35"/>
    <row r="67" spans="1:18" ht="14.5" x14ac:dyDescent="0.35"/>
    <row r="68" spans="1:18" ht="14.5" x14ac:dyDescent="0.35">
      <c r="B68" s="58"/>
    </row>
    <row r="69" spans="1:18" ht="14.5" x14ac:dyDescent="0.35">
      <c r="B69" s="58"/>
    </row>
    <row r="70" spans="1:18" ht="14.5" x14ac:dyDescent="0.35">
      <c r="B70" s="387"/>
      <c r="C70" s="387"/>
      <c r="D70" s="387"/>
      <c r="E70" s="387"/>
      <c r="F70" s="387"/>
      <c r="G70" s="387"/>
      <c r="H70" s="387"/>
    </row>
    <row r="71" spans="1:18" ht="14.5" x14ac:dyDescent="0.35">
      <c r="B71" s="387"/>
      <c r="C71" s="387"/>
      <c r="D71" s="387"/>
      <c r="E71" s="387"/>
      <c r="F71" s="387"/>
      <c r="G71" s="387"/>
      <c r="H71" s="387"/>
    </row>
    <row r="72" spans="1:18" s="48" customFormat="1" ht="14.5" x14ac:dyDescent="0.35">
      <c r="A72" s="57"/>
      <c r="B72" s="387"/>
      <c r="C72" s="387"/>
      <c r="D72" s="387"/>
      <c r="E72" s="387"/>
      <c r="F72" s="387"/>
      <c r="G72" s="387"/>
      <c r="H72" s="387"/>
      <c r="I72" s="57"/>
      <c r="J72" s="189"/>
      <c r="K72" s="57"/>
      <c r="L72" s="57"/>
      <c r="M72" s="57"/>
      <c r="Q72" s="49"/>
    </row>
    <row r="73" spans="1:18" s="48" customFormat="1" ht="14.5" x14ac:dyDescent="0.35">
      <c r="A73" s="57"/>
      <c r="B73" s="387"/>
      <c r="C73" s="387"/>
      <c r="D73" s="387"/>
      <c r="E73" s="387"/>
      <c r="F73" s="387"/>
      <c r="G73" s="387"/>
      <c r="H73" s="387"/>
      <c r="I73" s="57"/>
      <c r="J73" s="190"/>
      <c r="K73" s="56"/>
      <c r="L73" s="57"/>
      <c r="M73" s="57"/>
      <c r="R73" s="49"/>
    </row>
    <row r="74" spans="1:18" s="48" customFormat="1" ht="14.5" x14ac:dyDescent="0.35">
      <c r="A74" s="57"/>
      <c r="B74" s="57"/>
      <c r="C74" s="57"/>
      <c r="D74" s="57"/>
      <c r="E74" s="57"/>
      <c r="F74" s="57"/>
      <c r="G74" s="57"/>
      <c r="H74" s="57"/>
      <c r="I74" s="57"/>
      <c r="J74" s="190"/>
      <c r="K74" s="56"/>
      <c r="L74" s="57"/>
      <c r="M74" s="57"/>
      <c r="R74" s="49"/>
    </row>
    <row r="75" spans="1:18" s="48" customFormat="1" ht="14.5" x14ac:dyDescent="0.35">
      <c r="A75" s="57"/>
      <c r="B75" s="57"/>
      <c r="C75" s="57"/>
      <c r="D75" s="57"/>
      <c r="E75" s="57"/>
      <c r="F75" s="57"/>
      <c r="G75" s="57"/>
      <c r="H75" s="57"/>
      <c r="I75" s="57"/>
      <c r="J75" s="190"/>
      <c r="K75" s="56"/>
      <c r="L75" s="57"/>
      <c r="M75" s="57"/>
      <c r="R75" s="49"/>
    </row>
    <row r="76" spans="1:18" s="48" customFormat="1" ht="14.5" x14ac:dyDescent="0.35">
      <c r="A76" s="57"/>
      <c r="B76" s="57"/>
      <c r="C76" s="57"/>
      <c r="D76" s="57"/>
      <c r="E76" s="57"/>
      <c r="F76" s="57"/>
      <c r="G76" s="57"/>
      <c r="H76" s="57"/>
      <c r="I76" s="57"/>
      <c r="J76" s="190"/>
      <c r="K76" s="56"/>
      <c r="L76" s="57"/>
      <c r="M76" s="57"/>
      <c r="R76" s="49"/>
    </row>
    <row r="77" spans="1:18" s="48" customFormat="1" ht="14.5" hidden="1" x14ac:dyDescent="0.35">
      <c r="A77" s="57"/>
      <c r="B77" s="57"/>
      <c r="C77" s="57"/>
      <c r="D77" s="57"/>
      <c r="E77" s="57"/>
      <c r="F77" s="57"/>
      <c r="G77" s="57"/>
      <c r="H77" s="57"/>
      <c r="I77" s="57"/>
      <c r="J77" s="190"/>
      <c r="K77" s="56"/>
      <c r="L77" s="57"/>
      <c r="M77" s="57"/>
      <c r="R77" s="49"/>
    </row>
    <row r="78" spans="1:18" s="48" customFormat="1" ht="14.5" hidden="1" x14ac:dyDescent="0.35">
      <c r="A78" s="57"/>
      <c r="B78" s="57"/>
      <c r="C78" s="57"/>
      <c r="D78" s="57"/>
      <c r="E78" s="57"/>
      <c r="F78" s="57"/>
      <c r="G78" s="57"/>
      <c r="H78" s="57"/>
      <c r="I78" s="57"/>
      <c r="J78" s="190"/>
      <c r="K78" s="56"/>
      <c r="L78" s="57"/>
      <c r="M78" s="57"/>
      <c r="R78" s="49"/>
    </row>
    <row r="79" spans="1:18" s="48" customFormat="1" ht="14.5" hidden="1" x14ac:dyDescent="0.35">
      <c r="A79" s="57"/>
      <c r="B79" s="57"/>
      <c r="C79" s="57"/>
      <c r="D79" s="57"/>
      <c r="E79" s="57"/>
      <c r="F79" s="57"/>
      <c r="G79" s="57"/>
      <c r="H79" s="57"/>
      <c r="I79" s="57"/>
      <c r="J79" s="190"/>
      <c r="K79" s="56"/>
      <c r="L79" s="57"/>
      <c r="M79" s="57"/>
      <c r="R79" s="49"/>
    </row>
    <row r="80" spans="1:18" s="48" customFormat="1" ht="14.5" hidden="1" x14ac:dyDescent="0.35">
      <c r="A80" s="57"/>
      <c r="B80" s="57"/>
      <c r="C80" s="57"/>
      <c r="D80" s="57"/>
      <c r="E80" s="57"/>
      <c r="F80" s="57"/>
      <c r="G80" s="57"/>
      <c r="H80" s="57"/>
      <c r="I80" s="57"/>
      <c r="J80" s="190"/>
      <c r="K80" s="56"/>
      <c r="L80" s="57"/>
      <c r="M80" s="57"/>
    </row>
    <row r="81" ht="14.5" hidden="1" x14ac:dyDescent="0.35"/>
    <row r="82" ht="14.5" hidden="1" x14ac:dyDescent="0.35"/>
    <row r="83" ht="14.5" hidden="1" x14ac:dyDescent="0.35"/>
    <row r="84" ht="14.5" hidden="1" x14ac:dyDescent="0.35"/>
    <row r="85" ht="14.5" hidden="1" x14ac:dyDescent="0.35"/>
    <row r="86" ht="14.5" hidden="1" x14ac:dyDescent="0.35"/>
    <row r="87" ht="14.5" hidden="1" x14ac:dyDescent="0.35"/>
    <row r="88" ht="14.5" hidden="1" x14ac:dyDescent="0.35"/>
    <row r="89" ht="14.5" hidden="1" x14ac:dyDescent="0.35"/>
    <row r="90" ht="14.5" hidden="1" x14ac:dyDescent="0.35"/>
    <row r="91" ht="14.5" hidden="1" x14ac:dyDescent="0.35"/>
    <row r="92" ht="14.5" hidden="1" x14ac:dyDescent="0.35"/>
    <row r="93" ht="14.5" hidden="1" x14ac:dyDescent="0.35"/>
    <row r="94" ht="14.5" hidden="1" x14ac:dyDescent="0.35"/>
    <row r="95" ht="14.5" hidden="1" x14ac:dyDescent="0.35"/>
    <row r="96" ht="14.5" hidden="1" x14ac:dyDescent="0.35"/>
    <row r="97" ht="14.5" hidden="1" x14ac:dyDescent="0.35"/>
    <row r="98" ht="14.5" hidden="1" x14ac:dyDescent="0.35"/>
    <row r="99" ht="14.5" hidden="1" x14ac:dyDescent="0.35"/>
    <row r="100" ht="14.5" hidden="1" x14ac:dyDescent="0.35"/>
    <row r="101" ht="14.5" hidden="1" x14ac:dyDescent="0.35"/>
    <row r="102" ht="14.5" hidden="1" x14ac:dyDescent="0.35"/>
    <row r="103" ht="14.5" hidden="1" x14ac:dyDescent="0.35"/>
    <row r="104" ht="14.5" hidden="1" x14ac:dyDescent="0.35"/>
    <row r="105" ht="14.5" hidden="1" x14ac:dyDescent="0.35"/>
    <row r="106" ht="14.5" hidden="1" x14ac:dyDescent="0.35"/>
    <row r="107" ht="14.5" hidden="1" x14ac:dyDescent="0.35"/>
    <row r="108" ht="14.5" hidden="1" x14ac:dyDescent="0.35"/>
    <row r="109" ht="14.5" hidden="1" x14ac:dyDescent="0.35"/>
    <row r="110" ht="14.5" hidden="1" x14ac:dyDescent="0.35"/>
    <row r="111" ht="14.5" hidden="1" x14ac:dyDescent="0.35"/>
  </sheetData>
  <dataConsolidate/>
  <mergeCells count="13">
    <mergeCell ref="K26:L26"/>
    <mergeCell ref="D21:I21"/>
    <mergeCell ref="D14:I14"/>
    <mergeCell ref="D45:I45"/>
    <mergeCell ref="D63:I63"/>
    <mergeCell ref="B70:H73"/>
    <mergeCell ref="D26:I26"/>
    <mergeCell ref="D24:I24"/>
    <mergeCell ref="B1:C1"/>
    <mergeCell ref="B5:I5"/>
    <mergeCell ref="B6:I6"/>
    <mergeCell ref="B7:I9"/>
    <mergeCell ref="B12:I12"/>
  </mergeCells>
  <conditionalFormatting sqref="F27">
    <cfRule type="expression" dxfId="407" priority="131">
      <formula>(AND(ISNUMBER($C27),(IF(F27="",0,F27)&gt;$C27)=TRUE))</formula>
    </cfRule>
  </conditionalFormatting>
  <conditionalFormatting sqref="D16">
    <cfRule type="cellIs" dxfId="406" priority="74" operator="lessThan">
      <formula>(D$15*0.95)</formula>
    </cfRule>
  </conditionalFormatting>
  <conditionalFormatting sqref="D27">
    <cfRule type="expression" dxfId="405" priority="73">
      <formula>(AND(ISNUMBER($C27),(IF(D27="",0,D27)&gt;$C27)=TRUE))</formula>
    </cfRule>
  </conditionalFormatting>
  <conditionalFormatting sqref="E27">
    <cfRule type="expression" dxfId="404" priority="72">
      <formula>(AND(ISNUMBER($C27),(IF(E27="",0,E27)&gt;$C27)=TRUE))</formula>
    </cfRule>
  </conditionalFormatting>
  <conditionalFormatting sqref="G27">
    <cfRule type="expression" dxfId="403" priority="71">
      <formula>(AND(ISNUMBER($C27),(IF(G27="",0,G27)&gt;$C27)=TRUE))</formula>
    </cfRule>
  </conditionalFormatting>
  <conditionalFormatting sqref="H27">
    <cfRule type="expression" dxfId="402" priority="70">
      <formula>(AND(ISNUMBER($C27),(IF(H27="",0,H27)&gt;$C27)=TRUE))</formula>
    </cfRule>
  </conditionalFormatting>
  <conditionalFormatting sqref="H28">
    <cfRule type="expression" dxfId="401" priority="69">
      <formula>(AND(ISNUMBER($C28),(IF(H28="",0,H28)&gt;$C28)=TRUE))</formula>
    </cfRule>
  </conditionalFormatting>
  <conditionalFormatting sqref="G28">
    <cfRule type="expression" dxfId="400" priority="68">
      <formula>(AND(ISNUMBER($C28),(IF(G28="",0,G28)&gt;$C28)=TRUE))</formula>
    </cfRule>
  </conditionalFormatting>
  <conditionalFormatting sqref="F28">
    <cfRule type="expression" dxfId="399" priority="67">
      <formula>(AND(ISNUMBER($C28),(IF(F28="",0,F28)&gt;$C28)=TRUE))</formula>
    </cfRule>
  </conditionalFormatting>
  <conditionalFormatting sqref="E28">
    <cfRule type="expression" dxfId="398" priority="66">
      <formula>(AND(ISNUMBER($C28),(IF(E28="",0,E28)&gt;$C28)=TRUE))</formula>
    </cfRule>
  </conditionalFormatting>
  <conditionalFormatting sqref="D28">
    <cfRule type="expression" dxfId="397" priority="65">
      <formula>(AND(ISNUMBER($C28),(IF(D28="",0,D28)&gt;$C28)=TRUE))</formula>
    </cfRule>
  </conditionalFormatting>
  <conditionalFormatting sqref="D29">
    <cfRule type="expression" dxfId="396" priority="64">
      <formula>(AND(ISNUMBER($C29),(IF(D29="",0,D29)&gt;$C29)=TRUE))</formula>
    </cfRule>
  </conditionalFormatting>
  <conditionalFormatting sqref="E29">
    <cfRule type="expression" dxfId="395" priority="63">
      <formula>(AND(ISNUMBER($C29),(IF(E29="",0,E29)&gt;$C29)=TRUE))</formula>
    </cfRule>
  </conditionalFormatting>
  <conditionalFormatting sqref="F29">
    <cfRule type="expression" dxfId="394" priority="62">
      <formula>(AND(ISNUMBER($C29),(IF(F29="",0,F29)&gt;$C29)=TRUE))</formula>
    </cfRule>
  </conditionalFormatting>
  <conditionalFormatting sqref="G29">
    <cfRule type="expression" dxfId="393" priority="61">
      <formula>(AND(ISNUMBER($C29),(IF(G29="",0,G29)&gt;$C29)=TRUE))</formula>
    </cfRule>
  </conditionalFormatting>
  <conditionalFormatting sqref="H29">
    <cfRule type="expression" dxfId="392" priority="60">
      <formula>(AND(ISNUMBER($C29),(IF(H29="",0,H29)&gt;$C29)=TRUE))</formula>
    </cfRule>
  </conditionalFormatting>
  <conditionalFormatting sqref="H30">
    <cfRule type="expression" dxfId="391" priority="59">
      <formula>(AND(ISNUMBER($C30),(IF(H30="",0,H30)&gt;$C30)=TRUE))</formula>
    </cfRule>
  </conditionalFormatting>
  <conditionalFormatting sqref="G30">
    <cfRule type="expression" dxfId="390" priority="58">
      <formula>(AND(ISNUMBER($C30),(IF(G30="",0,G30)&gt;$C30)=TRUE))</formula>
    </cfRule>
  </conditionalFormatting>
  <conditionalFormatting sqref="F30">
    <cfRule type="expression" dxfId="389" priority="57">
      <formula>(AND(ISNUMBER($C30),(IF(F30="",0,F30)&gt;$C30)=TRUE))</formula>
    </cfRule>
  </conditionalFormatting>
  <conditionalFormatting sqref="E30">
    <cfRule type="expression" dxfId="388" priority="56">
      <formula>(AND(ISNUMBER($C30),(IF(E30="",0,E30)&gt;$C30)=TRUE))</formula>
    </cfRule>
  </conditionalFormatting>
  <conditionalFormatting sqref="D31">
    <cfRule type="expression" dxfId="387" priority="55">
      <formula>(AND(ISNUMBER($C31),(IF(D31="",0,D31)&gt;$C31)=TRUE))</formula>
    </cfRule>
  </conditionalFormatting>
  <conditionalFormatting sqref="D30">
    <cfRule type="expression" dxfId="386" priority="54">
      <formula>(AND(ISNUMBER($C30),(IF(D30="",0,D30)&gt;$C30)=TRUE))</formula>
    </cfRule>
  </conditionalFormatting>
  <conditionalFormatting sqref="E31">
    <cfRule type="expression" dxfId="385" priority="53">
      <formula>(AND(ISNUMBER($C31),(IF(E31="",0,E31)&gt;$C31)=TRUE))</formula>
    </cfRule>
  </conditionalFormatting>
  <conditionalFormatting sqref="F31">
    <cfRule type="expression" dxfId="384" priority="52">
      <formula>(AND(ISNUMBER($C31),(IF(F31="",0,F31)&gt;$C31)=TRUE))</formula>
    </cfRule>
  </conditionalFormatting>
  <conditionalFormatting sqref="G31">
    <cfRule type="expression" dxfId="383" priority="51">
      <formula>(AND(ISNUMBER($C31),(IF(G31="",0,G31)&gt;$C31)=TRUE))</formula>
    </cfRule>
  </conditionalFormatting>
  <conditionalFormatting sqref="H31">
    <cfRule type="expression" dxfId="382" priority="50">
      <formula>(AND(ISNUMBER($C31),(IF(H31="",0,H31)&gt;$C31)=TRUE))</formula>
    </cfRule>
  </conditionalFormatting>
  <conditionalFormatting sqref="H33">
    <cfRule type="expression" dxfId="381" priority="49">
      <formula>(AND(ISNUMBER($C33),(IF(H33="",0,H33)&gt;$C33)=TRUE))</formula>
    </cfRule>
  </conditionalFormatting>
  <conditionalFormatting sqref="G33">
    <cfRule type="expression" dxfId="380" priority="48">
      <formula>(AND(ISNUMBER($C33),(IF(G33="",0,G33)&gt;$C33)=TRUE))</formula>
    </cfRule>
  </conditionalFormatting>
  <conditionalFormatting sqref="F33">
    <cfRule type="expression" dxfId="379" priority="47">
      <formula>(AND(ISNUMBER($C33),(IF(F33="",0,F33)&gt;$C33)=TRUE))</formula>
    </cfRule>
  </conditionalFormatting>
  <conditionalFormatting sqref="E33">
    <cfRule type="expression" dxfId="378" priority="46">
      <formula>(AND(ISNUMBER($C33),(IF(E33="",0,E33)&gt;$C33)=TRUE))</formula>
    </cfRule>
  </conditionalFormatting>
  <conditionalFormatting sqref="D33">
    <cfRule type="expression" dxfId="377" priority="45">
      <formula>(AND(ISNUMBER($C33),(IF(D33="",0,D33)&gt;$C33)=TRUE))</formula>
    </cfRule>
  </conditionalFormatting>
  <conditionalFormatting sqref="D34">
    <cfRule type="expression" dxfId="376" priority="44">
      <formula>(AND(ISNUMBER($C34),(IF(D34="",0,D34)&gt;$C34)=TRUE))</formula>
    </cfRule>
  </conditionalFormatting>
  <conditionalFormatting sqref="E34">
    <cfRule type="expression" dxfId="375" priority="43">
      <formula>(AND(ISNUMBER($C34),(IF(E34="",0,E34)&gt;$C34)=TRUE))</formula>
    </cfRule>
  </conditionalFormatting>
  <conditionalFormatting sqref="F34">
    <cfRule type="expression" dxfId="374" priority="42">
      <formula>(AND(ISNUMBER($C34),(IF(F34="",0,F34)&gt;$C34)=TRUE))</formula>
    </cfRule>
  </conditionalFormatting>
  <conditionalFormatting sqref="G34">
    <cfRule type="expression" dxfId="373" priority="41">
      <formula>(AND(ISNUMBER($C34),(IF(G34="",0,G34)&gt;$C34)=TRUE))</formula>
    </cfRule>
  </conditionalFormatting>
  <conditionalFormatting sqref="H34">
    <cfRule type="expression" dxfId="372" priority="40">
      <formula>(AND(ISNUMBER($C34),(IF(H34="",0,H34)&gt;$C34)=TRUE))</formula>
    </cfRule>
  </conditionalFormatting>
  <conditionalFormatting sqref="H35">
    <cfRule type="expression" dxfId="371" priority="39">
      <formula>(AND(ISNUMBER($C35),(IF(H35="",0,H35)&gt;$C35)=TRUE))</formula>
    </cfRule>
  </conditionalFormatting>
  <conditionalFormatting sqref="G35">
    <cfRule type="expression" dxfId="370" priority="38">
      <formula>(AND(ISNUMBER($C35),(IF(G35="",0,G35)&gt;$C35)=TRUE))</formula>
    </cfRule>
  </conditionalFormatting>
  <conditionalFormatting sqref="F35">
    <cfRule type="expression" dxfId="369" priority="37">
      <formula>(AND(ISNUMBER($C35),(IF(F35="",0,F35)&gt;$C35)=TRUE))</formula>
    </cfRule>
  </conditionalFormatting>
  <conditionalFormatting sqref="E35">
    <cfRule type="expression" dxfId="368" priority="36">
      <formula>(AND(ISNUMBER($C35),(IF(E35="",0,E35)&gt;$C35)=TRUE))</formula>
    </cfRule>
  </conditionalFormatting>
  <conditionalFormatting sqref="D35">
    <cfRule type="expression" dxfId="367" priority="35">
      <formula>(AND(ISNUMBER($C35),(IF(D35="",0,D35)&gt;$C35)=TRUE))</formula>
    </cfRule>
  </conditionalFormatting>
  <conditionalFormatting sqref="D37">
    <cfRule type="expression" dxfId="366" priority="34">
      <formula>(AND(ISNUMBER($C37),(IF(D37="",0,D37)&gt;$C37)=TRUE))</formula>
    </cfRule>
  </conditionalFormatting>
  <conditionalFormatting sqref="E37">
    <cfRule type="expression" dxfId="365" priority="33">
      <formula>(AND(ISNUMBER($C37),(IF(E37="",0,E37)&gt;$C37)=TRUE))</formula>
    </cfRule>
  </conditionalFormatting>
  <conditionalFormatting sqref="F37">
    <cfRule type="expression" dxfId="364" priority="32">
      <formula>(AND(ISNUMBER($C37),(IF(F37="",0,F37)&gt;$C37)=TRUE))</formula>
    </cfRule>
  </conditionalFormatting>
  <conditionalFormatting sqref="G37">
    <cfRule type="expression" dxfId="363" priority="31">
      <formula>(AND(ISNUMBER($C37),(IF(G37="",0,G37)&gt;$C37)=TRUE))</formula>
    </cfRule>
  </conditionalFormatting>
  <conditionalFormatting sqref="H37">
    <cfRule type="expression" dxfId="362" priority="30">
      <formula>(AND(ISNUMBER($C37),(IF(H37="",0,H37)&gt;$C37)=TRUE))</formula>
    </cfRule>
  </conditionalFormatting>
  <conditionalFormatting sqref="H38">
    <cfRule type="expression" dxfId="361" priority="29">
      <formula>(AND(ISNUMBER($C38),(IF(H38="",0,H38)&gt;$C38)=TRUE))</formula>
    </cfRule>
  </conditionalFormatting>
  <conditionalFormatting sqref="G38">
    <cfRule type="expression" dxfId="360" priority="28">
      <formula>(AND(ISNUMBER($C38),(IF(G38="",0,G38)&gt;$C38)=TRUE))</formula>
    </cfRule>
  </conditionalFormatting>
  <conditionalFormatting sqref="F38">
    <cfRule type="expression" dxfId="359" priority="27">
      <formula>(AND(ISNUMBER($C38),(IF(F38="",0,F38)&gt;$C38)=TRUE))</formula>
    </cfRule>
  </conditionalFormatting>
  <conditionalFormatting sqref="E38">
    <cfRule type="expression" dxfId="358" priority="26">
      <formula>(AND(ISNUMBER($C38),(IF(E38="",0,E38)&gt;$C38)=TRUE))</formula>
    </cfRule>
  </conditionalFormatting>
  <conditionalFormatting sqref="D38">
    <cfRule type="expression" dxfId="357" priority="25">
      <formula>(AND(ISNUMBER($C38),(IF(D38="",0,D38)&gt;$C38)=TRUE))</formula>
    </cfRule>
  </conditionalFormatting>
  <conditionalFormatting sqref="D39">
    <cfRule type="expression" dxfId="356" priority="24">
      <formula>(AND(ISNUMBER($C39),(IF(D39="",0,D39)&gt;$C39)=TRUE))</formula>
    </cfRule>
  </conditionalFormatting>
  <conditionalFormatting sqref="E39">
    <cfRule type="expression" dxfId="355" priority="23">
      <formula>(AND(ISNUMBER($C39),(IF(E39="",0,E39)&gt;$C39)=TRUE))</formula>
    </cfRule>
  </conditionalFormatting>
  <conditionalFormatting sqref="F39">
    <cfRule type="expression" dxfId="354" priority="22">
      <formula>(AND(ISNUMBER($C39),(IF(F39="",0,F39)&gt;$C39)=TRUE))</formula>
    </cfRule>
  </conditionalFormatting>
  <conditionalFormatting sqref="G39">
    <cfRule type="expression" dxfId="353" priority="21">
      <formula>(AND(ISNUMBER($C39),(IF(G39="",0,G39)&gt;$C39)=TRUE))</formula>
    </cfRule>
  </conditionalFormatting>
  <conditionalFormatting sqref="H39">
    <cfRule type="expression" dxfId="352" priority="20">
      <formula>(AND(ISNUMBER($C39),(IF(H39="",0,H39)&gt;$C39)=TRUE))</formula>
    </cfRule>
  </conditionalFormatting>
  <conditionalFormatting sqref="H40">
    <cfRule type="expression" dxfId="351" priority="19">
      <formula>(AND(ISNUMBER($C40),(IF(H40="",0,H40)&gt;$C40)=TRUE))</formula>
    </cfRule>
  </conditionalFormatting>
  <conditionalFormatting sqref="G40">
    <cfRule type="expression" dxfId="350" priority="18">
      <formula>(AND(ISNUMBER($C40),(IF(G40="",0,G40)&gt;$C40)=TRUE))</formula>
    </cfRule>
  </conditionalFormatting>
  <conditionalFormatting sqref="F40">
    <cfRule type="expression" dxfId="349" priority="17">
      <formula>(AND(ISNUMBER($C40),(IF(F40="",0,F40)&gt;$C40)=TRUE))</formula>
    </cfRule>
  </conditionalFormatting>
  <conditionalFormatting sqref="E40">
    <cfRule type="expression" dxfId="348" priority="16">
      <formula>(AND(ISNUMBER($C40),(IF(E40="",0,E40)&gt;$C40)=TRUE))</formula>
    </cfRule>
  </conditionalFormatting>
  <conditionalFormatting sqref="D40">
    <cfRule type="expression" dxfId="347" priority="15">
      <formula>(AND(ISNUMBER($C40),(IF(D40="",0,D40)&gt;$C40)=TRUE))</formula>
    </cfRule>
  </conditionalFormatting>
  <conditionalFormatting sqref="D41">
    <cfRule type="expression" dxfId="346" priority="14">
      <formula>(AND(ISNUMBER($C41),(IF(D41="",0,D41)&gt;$C41)=TRUE))</formula>
    </cfRule>
  </conditionalFormatting>
  <conditionalFormatting sqref="E41">
    <cfRule type="expression" dxfId="345" priority="13">
      <formula>(AND(ISNUMBER($C41),(IF(E41="",0,E41)&gt;$C41)=TRUE))</formula>
    </cfRule>
  </conditionalFormatting>
  <conditionalFormatting sqref="F41">
    <cfRule type="expression" dxfId="344" priority="12">
      <formula>(AND(ISNUMBER($C41),(IF(F41="",0,F41)&gt;$C41)=TRUE))</formula>
    </cfRule>
  </conditionalFormatting>
  <conditionalFormatting sqref="G41">
    <cfRule type="expression" dxfId="343" priority="11">
      <formula>(AND(ISNUMBER($C41),(IF(G41="",0,G41)&gt;$C41)=TRUE))</formula>
    </cfRule>
  </conditionalFormatting>
  <conditionalFormatting sqref="H41">
    <cfRule type="expression" dxfId="342" priority="10">
      <formula>(AND(ISNUMBER($C41),(IF(H41="",0,H41)&gt;$C41)=TRUE))</formula>
    </cfRule>
  </conditionalFormatting>
  <conditionalFormatting sqref="H42">
    <cfRule type="expression" dxfId="341" priority="9">
      <formula>(AND(ISNUMBER($C42),(IF(H42="",0,H42)&gt;$C42)=TRUE))</formula>
    </cfRule>
  </conditionalFormatting>
  <conditionalFormatting sqref="G42">
    <cfRule type="expression" dxfId="340" priority="8">
      <formula>(AND(ISNUMBER($C42),(IF(G42="",0,G42)&gt;$C42)=TRUE))</formula>
    </cfRule>
  </conditionalFormatting>
  <conditionalFormatting sqref="F42">
    <cfRule type="expression" dxfId="339" priority="7">
      <formula>(AND(ISNUMBER($C42),(IF(F42="",0,F42)&gt;$C42)=TRUE))</formula>
    </cfRule>
  </conditionalFormatting>
  <conditionalFormatting sqref="E42">
    <cfRule type="expression" dxfId="338" priority="6">
      <formula>(AND(ISNUMBER($C42),(IF(E42="",0,E42)&gt;$C42)=TRUE))</formula>
    </cfRule>
  </conditionalFormatting>
  <conditionalFormatting sqref="D42">
    <cfRule type="expression" dxfId="337" priority="5">
      <formula>(AND(ISNUMBER($C42),(IF(D42="",0,D42)&gt;$C42)=TRUE))</formula>
    </cfRule>
  </conditionalFormatting>
  <conditionalFormatting sqref="E16">
    <cfRule type="cellIs" dxfId="336" priority="4" operator="lessThan">
      <formula>(E$15*0.95)</formula>
    </cfRule>
  </conditionalFormatting>
  <conditionalFormatting sqref="F16">
    <cfRule type="cellIs" dxfId="335" priority="3" operator="lessThan">
      <formula>(F$15*0.95)</formula>
    </cfRule>
  </conditionalFormatting>
  <conditionalFormatting sqref="G16">
    <cfRule type="cellIs" dxfId="334" priority="2" operator="lessThan">
      <formula>(G$15*0.95)</formula>
    </cfRule>
  </conditionalFormatting>
  <conditionalFormatting sqref="H16">
    <cfRule type="cellIs" dxfId="333" priority="1" operator="lessThan">
      <formula>(H$15*0.95)</formula>
    </cfRule>
  </conditionalFormatting>
  <dataValidations disablePrompts="1" count="1">
    <dataValidation type="list" allowBlank="1" showInputMessage="1" showErrorMessage="1" sqref="H2">
      <formula1>"Cycle1, MegaCycle, Sort0"</formula1>
    </dataValidation>
  </dataValidations>
  <pageMargins left="0.25" right="0.25" top="0.75" bottom="0.75" header="0.3" footer="0.3"/>
  <pageSetup scale="2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rt1">
    <tabColor theme="7" tint="0.59999389629810485"/>
    <pageSetUpPr fitToPage="1"/>
  </sheetPr>
  <dimension ref="A1:AD111"/>
  <sheetViews>
    <sheetView showGridLines="0" zoomScale="46" zoomScaleNormal="70" workbookViewId="0">
      <selection activeCell="H36" sqref="H36"/>
    </sheetView>
  </sheetViews>
  <sheetFormatPr defaultColWidth="0" defaultRowHeight="0" customHeight="1" zeroHeight="1" x14ac:dyDescent="0.35"/>
  <cols>
    <col min="1" max="1" width="9.1796875" style="50" customWidth="1"/>
    <col min="2" max="13" width="20.54296875" style="50" customWidth="1"/>
    <col min="14" max="14" width="9.1796875" style="95" hidden="1" customWidth="1"/>
    <col min="15" max="17" width="9.1796875" style="50" customWidth="1"/>
    <col min="18" max="18" width="11" style="50" hidden="1" customWidth="1"/>
    <col min="19" max="22" width="0" style="50" hidden="1" customWidth="1"/>
    <col min="23" max="23" width="11" style="50" hidden="1" customWidth="1"/>
    <col min="24" max="30" width="0" style="50" hidden="1" customWidth="1"/>
    <col min="31" max="16384" width="9.1796875" style="50" hidden="1"/>
  </cols>
  <sheetData>
    <row r="1" spans="1:15" ht="49" customHeight="1" x14ac:dyDescent="0.5">
      <c r="B1" s="417" t="s">
        <v>78</v>
      </c>
      <c r="C1" s="417"/>
    </row>
    <row r="2" spans="1:15" s="74" customFormat="1" ht="18" customHeight="1" x14ac:dyDescent="0.45">
      <c r="B2" s="70"/>
      <c r="C2" s="71" t="s">
        <v>2</v>
      </c>
      <c r="D2" s="72"/>
      <c r="E2" s="72"/>
      <c r="G2" s="72"/>
      <c r="N2" s="207"/>
    </row>
    <row r="3" spans="1:15" s="74" customFormat="1" ht="18" customHeight="1" x14ac:dyDescent="0.45">
      <c r="B3" s="19" t="s">
        <v>33</v>
      </c>
      <c r="C3" s="73">
        <v>44056</v>
      </c>
      <c r="D3" s="72"/>
      <c r="E3" s="76"/>
      <c r="G3" s="72"/>
      <c r="H3" s="77"/>
      <c r="I3" s="78"/>
      <c r="N3" s="207"/>
    </row>
    <row r="4" spans="1:15" s="74" customFormat="1" ht="18" customHeight="1" thickBot="1" x14ac:dyDescent="0.5">
      <c r="B4" s="19" t="s">
        <v>34</v>
      </c>
      <c r="C4" s="73">
        <v>44057</v>
      </c>
      <c r="N4" s="207"/>
    </row>
    <row r="5" spans="1:15" ht="25.5" customHeight="1" thickTop="1" thickBot="1" x14ac:dyDescent="0.4">
      <c r="B5" s="379" t="str">
        <f>E3&amp;" Hourly Tracker - "&amp; TEXT(EndDate,"MM/DD/YY")&amp;" OFD"</f>
        <v xml:space="preserve"> Hourly Tracker - 08/14/20 OFD</v>
      </c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418"/>
    </row>
    <row r="6" spans="1:15" ht="14.5" x14ac:dyDescent="0.35">
      <c r="B6" s="419" t="s">
        <v>21</v>
      </c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420"/>
    </row>
    <row r="7" spans="1:15" ht="14.5" x14ac:dyDescent="0.35">
      <c r="B7" s="421"/>
      <c r="C7" s="422"/>
      <c r="D7" s="422"/>
      <c r="E7" s="422"/>
      <c r="F7" s="422"/>
      <c r="G7" s="422"/>
      <c r="H7" s="422"/>
      <c r="I7" s="422"/>
      <c r="J7" s="422"/>
      <c r="K7" s="422"/>
      <c r="L7" s="422"/>
      <c r="M7" s="423"/>
    </row>
    <row r="8" spans="1:15" ht="14.5" x14ac:dyDescent="0.35">
      <c r="B8" s="424"/>
      <c r="C8" s="425"/>
      <c r="D8" s="425"/>
      <c r="E8" s="425"/>
      <c r="F8" s="425"/>
      <c r="G8" s="425"/>
      <c r="H8" s="425"/>
      <c r="I8" s="425"/>
      <c r="J8" s="425"/>
      <c r="K8" s="425"/>
      <c r="L8" s="425"/>
      <c r="M8" s="426"/>
    </row>
    <row r="9" spans="1:15" ht="14.5" x14ac:dyDescent="0.35">
      <c r="B9" s="427"/>
      <c r="C9" s="428"/>
      <c r="D9" s="428"/>
      <c r="E9" s="428"/>
      <c r="F9" s="428"/>
      <c r="G9" s="428"/>
      <c r="H9" s="428"/>
      <c r="I9" s="428"/>
      <c r="J9" s="428"/>
      <c r="K9" s="428"/>
      <c r="L9" s="428"/>
      <c r="M9" s="429"/>
    </row>
    <row r="10" spans="1:15" ht="37.5" customHeight="1" x14ac:dyDescent="0.35">
      <c r="B10" s="91"/>
      <c r="C10" s="43"/>
      <c r="D10" s="45"/>
      <c r="E10" s="45"/>
      <c r="F10" s="44"/>
      <c r="G10" s="44"/>
      <c r="H10" s="44"/>
      <c r="I10" s="44"/>
      <c r="J10" s="44"/>
      <c r="K10" s="44"/>
      <c r="L10" s="44"/>
      <c r="M10" s="92"/>
    </row>
    <row r="11" spans="1:15" ht="15" customHeight="1" thickBot="1" x14ac:dyDescent="0.4">
      <c r="B11" s="80"/>
      <c r="C11" s="30" t="s">
        <v>35</v>
      </c>
      <c r="D11" s="31">
        <v>0.83333333333333337</v>
      </c>
      <c r="E11" s="31">
        <f t="shared" ref="E11:L11" si="0">D11+1/24</f>
        <v>0.875</v>
      </c>
      <c r="F11" s="31">
        <f t="shared" si="0"/>
        <v>0.91666666666666663</v>
      </c>
      <c r="G11" s="31">
        <f t="shared" si="0"/>
        <v>0.95833333333333326</v>
      </c>
      <c r="H11" s="31">
        <f t="shared" si="0"/>
        <v>0.99999999999999989</v>
      </c>
      <c r="I11" s="31">
        <f t="shared" si="0"/>
        <v>1.0416666666666665</v>
      </c>
      <c r="J11" s="31">
        <f t="shared" si="0"/>
        <v>1.0833333333333333</v>
      </c>
      <c r="K11" s="31">
        <f t="shared" si="0"/>
        <v>1.125</v>
      </c>
      <c r="L11" s="31">
        <f t="shared" si="0"/>
        <v>1.1666666666666667</v>
      </c>
      <c r="M11" s="81" t="s">
        <v>4</v>
      </c>
    </row>
    <row r="12" spans="1:15" ht="15" customHeight="1" thickBot="1" x14ac:dyDescent="0.4">
      <c r="B12" s="211" t="s">
        <v>36</v>
      </c>
      <c r="C12" s="412" t="s">
        <v>36</v>
      </c>
      <c r="D12" s="407"/>
      <c r="E12" s="407"/>
      <c r="F12" s="407"/>
      <c r="G12" s="407"/>
      <c r="H12" s="407"/>
      <c r="I12" s="407"/>
      <c r="J12" s="407"/>
      <c r="K12" s="407"/>
      <c r="L12" s="407"/>
      <c r="M12" s="430"/>
    </row>
    <row r="13" spans="1:15" ht="15" customHeight="1" thickBot="1" x14ac:dyDescent="0.4">
      <c r="B13" s="140" t="s">
        <v>37</v>
      </c>
      <c r="C13" s="141"/>
      <c r="D13" s="32">
        <v>0.75</v>
      </c>
      <c r="E13" s="32">
        <v>1</v>
      </c>
      <c r="F13" s="32">
        <v>1</v>
      </c>
      <c r="G13" s="32">
        <v>0.5</v>
      </c>
      <c r="H13" s="32">
        <v>1</v>
      </c>
      <c r="I13" s="32">
        <v>1</v>
      </c>
      <c r="J13" s="32">
        <v>0.75</v>
      </c>
      <c r="K13" s="32">
        <v>1</v>
      </c>
      <c r="L13" s="32">
        <v>0.5</v>
      </c>
      <c r="M13" s="219">
        <f>SUM(D13:L13)</f>
        <v>7.5</v>
      </c>
    </row>
    <row r="14" spans="1:15" ht="15" customHeight="1" thickBot="1" x14ac:dyDescent="0.4">
      <c r="B14" s="234" t="s">
        <v>7</v>
      </c>
      <c r="C14" s="407" t="s">
        <v>7</v>
      </c>
      <c r="D14" s="407"/>
      <c r="E14" s="407"/>
      <c r="F14" s="407"/>
      <c r="G14" s="407"/>
      <c r="H14" s="407"/>
      <c r="I14" s="407"/>
      <c r="J14" s="407"/>
      <c r="K14" s="407"/>
      <c r="L14" s="407"/>
      <c r="M14" s="430"/>
      <c r="O14" s="59"/>
    </row>
    <row r="15" spans="1:15" ht="15" customHeight="1" x14ac:dyDescent="0.35">
      <c r="A15" s="59"/>
      <c r="B15" s="107" t="s">
        <v>38</v>
      </c>
      <c r="C15" s="142">
        <f>IFERROR(A15/M13,0)</f>
        <v>0</v>
      </c>
      <c r="D15" s="213">
        <f>((D$13/$M$13) * $A$15)</f>
        <v>0</v>
      </c>
      <c r="E15" s="125">
        <f t="shared" ref="E15:L15" si="1">((E$13/$M$13) * $A$15)</f>
        <v>0</v>
      </c>
      <c r="F15" s="123">
        <f t="shared" si="1"/>
        <v>0</v>
      </c>
      <c r="G15" s="123">
        <f t="shared" si="1"/>
        <v>0</v>
      </c>
      <c r="H15" s="123">
        <f t="shared" si="1"/>
        <v>0</v>
      </c>
      <c r="I15" s="123">
        <f t="shared" si="1"/>
        <v>0</v>
      </c>
      <c r="J15" s="123">
        <f t="shared" si="1"/>
        <v>0</v>
      </c>
      <c r="K15" s="121">
        <f t="shared" si="1"/>
        <v>0</v>
      </c>
      <c r="L15" s="25">
        <f t="shared" si="1"/>
        <v>0</v>
      </c>
      <c r="M15" s="220">
        <f>SUM(D15:L15)</f>
        <v>0</v>
      </c>
      <c r="O15" s="59"/>
    </row>
    <row r="16" spans="1:15" ht="15" customHeight="1" thickBot="1" x14ac:dyDescent="0.4">
      <c r="B16" s="107" t="s">
        <v>39</v>
      </c>
      <c r="C16" s="143"/>
      <c r="D16" s="208" t="str">
        <f t="shared" ref="D16:L16" ca="1" si="2">IFERROR(IF(SUMIF(INDIRECT("PPA."&amp;HOUR(D$11)&amp;"!$D:$D"),$N16,INDIRECT("PPA."&amp;HOUR(D$11)&amp;"!$F:$F"))=0,"",SUMIF(INDIRECT("PPA."&amp;HOUR(D$11)&amp;"!$D:$D"),$N16,INDIRECT("PPA."&amp;HOUR(D$11)&amp;"!$F:$F"))),"")</f>
        <v/>
      </c>
      <c r="E16" s="133" t="str">
        <f t="shared" ca="1" si="2"/>
        <v/>
      </c>
      <c r="F16" s="133" t="str">
        <f t="shared" ca="1" si="2"/>
        <v/>
      </c>
      <c r="G16" s="133" t="str">
        <f t="shared" ca="1" si="2"/>
        <v/>
      </c>
      <c r="H16" s="133" t="str">
        <f t="shared" ca="1" si="2"/>
        <v/>
      </c>
      <c r="I16" s="133" t="str">
        <f t="shared" ca="1" si="2"/>
        <v/>
      </c>
      <c r="J16" s="133" t="str">
        <f t="shared" ca="1" si="2"/>
        <v/>
      </c>
      <c r="K16" s="133" t="str">
        <f t="shared" ca="1" si="2"/>
        <v/>
      </c>
      <c r="L16" s="23" t="str">
        <f t="shared" ca="1" si="2"/>
        <v/>
      </c>
      <c r="M16" s="221">
        <f ca="1">SUM(D16:L16)/M13</f>
        <v>0</v>
      </c>
      <c r="N16" s="95">
        <v>100020</v>
      </c>
      <c r="O16" s="59"/>
    </row>
    <row r="17" spans="2:16" ht="15" customHeight="1" thickBot="1" x14ac:dyDescent="0.4">
      <c r="B17" s="222" t="s">
        <v>3</v>
      </c>
      <c r="C17" s="144"/>
      <c r="D17" s="214" t="str">
        <f t="shared" ref="D17:L17" ca="1" si="3">IFERROR(IF(D16="","",D16-D15),"")</f>
        <v/>
      </c>
      <c r="E17" s="128" t="str">
        <f t="shared" ca="1" si="3"/>
        <v/>
      </c>
      <c r="F17" s="129" t="str">
        <f t="shared" ca="1" si="3"/>
        <v/>
      </c>
      <c r="G17" s="128" t="str">
        <f t="shared" ca="1" si="3"/>
        <v/>
      </c>
      <c r="H17" s="129" t="str">
        <f t="shared" ca="1" si="3"/>
        <v/>
      </c>
      <c r="I17" s="128" t="str">
        <f t="shared" ca="1" si="3"/>
        <v/>
      </c>
      <c r="J17" s="129" t="str">
        <f t="shared" ca="1" si="3"/>
        <v/>
      </c>
      <c r="K17" s="128" t="str">
        <f t="shared" ca="1" si="3"/>
        <v/>
      </c>
      <c r="L17" s="131" t="str">
        <f t="shared" ca="1" si="3"/>
        <v/>
      </c>
      <c r="M17" s="223">
        <f ca="1">M16-M15</f>
        <v>0</v>
      </c>
      <c r="O17" s="59"/>
    </row>
    <row r="18" spans="2:16" ht="15" customHeight="1" x14ac:dyDescent="0.35">
      <c r="B18" s="107" t="s">
        <v>40</v>
      </c>
      <c r="C18" s="143"/>
      <c r="D18" s="208">
        <f>D15</f>
        <v>0</v>
      </c>
      <c r="E18" s="124">
        <f t="shared" ref="E18:L18" si="4">D18+E15</f>
        <v>0</v>
      </c>
      <c r="F18" s="23">
        <f t="shared" si="4"/>
        <v>0</v>
      </c>
      <c r="G18" s="124">
        <f t="shared" si="4"/>
        <v>0</v>
      </c>
      <c r="H18" s="23">
        <f t="shared" si="4"/>
        <v>0</v>
      </c>
      <c r="I18" s="124">
        <f t="shared" si="4"/>
        <v>0</v>
      </c>
      <c r="J18" s="23">
        <f t="shared" si="4"/>
        <v>0</v>
      </c>
      <c r="K18" s="124">
        <f t="shared" si="4"/>
        <v>0</v>
      </c>
      <c r="L18" s="24">
        <f t="shared" si="4"/>
        <v>0</v>
      </c>
      <c r="M18" s="221">
        <f>SUM(D15:L15)</f>
        <v>0</v>
      </c>
      <c r="O18" s="59"/>
    </row>
    <row r="19" spans="2:16" ht="15" customHeight="1" thickBot="1" x14ac:dyDescent="0.4">
      <c r="B19" s="107" t="s">
        <v>41</v>
      </c>
      <c r="C19" s="143"/>
      <c r="D19" s="208" t="str">
        <f ca="1">IF(D16="","",SUM($D$16:D16))</f>
        <v/>
      </c>
      <c r="E19" s="124" t="str">
        <f ca="1">IF(E16="","",SUM($D$16:E16))</f>
        <v/>
      </c>
      <c r="F19" s="23" t="str">
        <f ca="1">IF(F16="","",SUM($D$16:F16))</f>
        <v/>
      </c>
      <c r="G19" s="124" t="str">
        <f ca="1">IF(G16="","",SUM($D$16:G16))</f>
        <v/>
      </c>
      <c r="H19" s="23" t="str">
        <f ca="1">IF(H16="","",SUM($D$16:H16))</f>
        <v/>
      </c>
      <c r="I19" s="124" t="str">
        <f ca="1">IF(I16="","",SUM($D$16:I16))</f>
        <v/>
      </c>
      <c r="J19" s="23" t="str">
        <f ca="1">IF(J16="","",SUM($D$16:J16))</f>
        <v/>
      </c>
      <c r="K19" s="124" t="str">
        <f ca="1">IF(K16="","",SUM($D$16:K16))</f>
        <v/>
      </c>
      <c r="L19" s="24" t="str">
        <f ca="1">IF(L16="","",SUM($D$16:L16))</f>
        <v/>
      </c>
      <c r="M19" s="221">
        <f ca="1">SUM(D16:L16)</f>
        <v>0</v>
      </c>
      <c r="O19" s="59"/>
    </row>
    <row r="20" spans="2:16" ht="15" customHeight="1" thickBot="1" x14ac:dyDescent="0.4">
      <c r="B20" s="222" t="s">
        <v>3</v>
      </c>
      <c r="C20" s="144"/>
      <c r="D20" s="214" t="str">
        <f t="shared" ref="D20:L20" ca="1" si="5">IFERROR(IF(D19="","",D19-D18),"")</f>
        <v/>
      </c>
      <c r="E20" s="128" t="str">
        <f t="shared" ca="1" si="5"/>
        <v/>
      </c>
      <c r="F20" s="129" t="str">
        <f t="shared" ca="1" si="5"/>
        <v/>
      </c>
      <c r="G20" s="128" t="str">
        <f t="shared" ca="1" si="5"/>
        <v/>
      </c>
      <c r="H20" s="129" t="str">
        <f t="shared" ca="1" si="5"/>
        <v/>
      </c>
      <c r="I20" s="128" t="str">
        <f t="shared" ca="1" si="5"/>
        <v/>
      </c>
      <c r="J20" s="129" t="str">
        <f t="shared" ca="1" si="5"/>
        <v/>
      </c>
      <c r="K20" s="128" t="str">
        <f t="shared" ca="1" si="5"/>
        <v/>
      </c>
      <c r="L20" s="131" t="str">
        <f t="shared" ca="1" si="5"/>
        <v/>
      </c>
      <c r="M20" s="223">
        <f ca="1">M19-M18</f>
        <v>0</v>
      </c>
      <c r="O20" s="59"/>
    </row>
    <row r="21" spans="2:16" ht="15" customHeight="1" thickBot="1" x14ac:dyDescent="0.4">
      <c r="B21" s="233" t="s">
        <v>17</v>
      </c>
      <c r="C21" s="184"/>
      <c r="D21" s="389" t="s">
        <v>17</v>
      </c>
      <c r="E21" s="389"/>
      <c r="F21" s="389"/>
      <c r="G21" s="389"/>
      <c r="H21" s="389"/>
      <c r="I21" s="389"/>
      <c r="J21" s="389"/>
      <c r="K21" s="389"/>
      <c r="L21" s="389"/>
      <c r="M21" s="435"/>
      <c r="O21" s="59"/>
    </row>
    <row r="22" spans="2:16" ht="15" customHeight="1" x14ac:dyDescent="0.35">
      <c r="B22" s="107" t="s">
        <v>42</v>
      </c>
      <c r="C22" s="142"/>
      <c r="D22" s="213" t="str">
        <f t="shared" ref="D22:L22" ca="1" si="6">IFERROR(IF(SUMIF(INDIRECT("PPA."&amp;HOUR(D$11)&amp;"!$D:$D"),$N22,INDIRECT("PPA."&amp;HOUR(D$11)&amp;"!$F:$F"))=0,"",SUMIF(INDIRECT("PPA."&amp;HOUR(D$11)&amp;"!$D:$D"),$N22,INDIRECT("PPA."&amp;HOUR(D$11)&amp;"!$F:$F"))),"")</f>
        <v/>
      </c>
      <c r="E22" s="123" t="str">
        <f t="shared" ca="1" si="6"/>
        <v/>
      </c>
      <c r="F22" s="25" t="str">
        <f t="shared" ca="1" si="6"/>
        <v/>
      </c>
      <c r="G22" s="123" t="str">
        <f t="shared" ca="1" si="6"/>
        <v/>
      </c>
      <c r="H22" s="25" t="str">
        <f t="shared" ca="1" si="6"/>
        <v/>
      </c>
      <c r="I22" s="123" t="str">
        <f t="shared" ca="1" si="6"/>
        <v/>
      </c>
      <c r="J22" s="25" t="str">
        <f t="shared" ca="1" si="6"/>
        <v/>
      </c>
      <c r="K22" s="123" t="str">
        <f t="shared" ca="1" si="6"/>
        <v/>
      </c>
      <c r="L22" s="26" t="str">
        <f t="shared" ca="1" si="6"/>
        <v/>
      </c>
      <c r="M22" s="220">
        <f ca="1">SUM(D22:L22)/8</f>
        <v>0</v>
      </c>
      <c r="N22" s="95">
        <v>100440</v>
      </c>
      <c r="O22" s="59"/>
    </row>
    <row r="23" spans="2:16" ht="15" customHeight="1" thickBot="1" x14ac:dyDescent="0.4">
      <c r="B23" s="107" t="s">
        <v>41</v>
      </c>
      <c r="C23" s="145"/>
      <c r="D23" s="218" t="str">
        <f ca="1">IF(OR(D22=0,D22=""),"",SUM($D22:D$22))</f>
        <v/>
      </c>
      <c r="E23" s="133" t="str">
        <f ca="1">IF(OR(E22=0,E22=""),"",SUM($D22:E$22))</f>
        <v/>
      </c>
      <c r="F23" s="120" t="str">
        <f ca="1">IF(OR(F22=0,F22=""),"",SUM($D22:F$22))</f>
        <v/>
      </c>
      <c r="G23" s="133" t="str">
        <f ca="1">IF(OR(G22=0,G22=""),"",SUM($D22:G$22))</f>
        <v/>
      </c>
      <c r="H23" s="120" t="str">
        <f ca="1">IF(OR(H22=0,H22=""),"",SUM($D22:H$22))</f>
        <v/>
      </c>
      <c r="I23" s="133" t="str">
        <f ca="1">IF(OR(I22=0,I22=""),"",SUM($D22:I$22))</f>
        <v/>
      </c>
      <c r="J23" s="120" t="str">
        <f ca="1">IF(OR(J22=0,J22=""),"",SUM($D22:J$22))</f>
        <v/>
      </c>
      <c r="K23" s="133" t="str">
        <f ca="1">IF(OR(K22=0,K22=""),"",SUM($D22:K$22))</f>
        <v/>
      </c>
      <c r="L23" s="79" t="str">
        <f ca="1">IF(OR(L22=0,L22=""),"",SUM($D22:L$22))</f>
        <v/>
      </c>
      <c r="M23" s="224">
        <f ca="1">SUM(D22:L22)</f>
        <v>0</v>
      </c>
      <c r="O23" s="59"/>
    </row>
    <row r="24" spans="2:16" ht="15" customHeight="1" thickBot="1" x14ac:dyDescent="0.4">
      <c r="B24" s="233" t="s">
        <v>43</v>
      </c>
      <c r="C24" s="184"/>
      <c r="D24" s="389" t="s">
        <v>43</v>
      </c>
      <c r="E24" s="389"/>
      <c r="F24" s="389"/>
      <c r="G24" s="389"/>
      <c r="H24" s="389"/>
      <c r="I24" s="389"/>
      <c r="J24" s="389"/>
      <c r="K24" s="389"/>
      <c r="L24" s="389"/>
      <c r="M24" s="435"/>
      <c r="O24" s="59"/>
    </row>
    <row r="25" spans="2:16" ht="15" customHeight="1" thickBot="1" x14ac:dyDescent="0.4">
      <c r="B25" s="107" t="s">
        <v>43</v>
      </c>
      <c r="C25" s="144"/>
      <c r="D25" s="214" t="str">
        <f t="shared" ref="D25:L25" ca="1" si="7">IFERROR(D19-D23,"")</f>
        <v/>
      </c>
      <c r="E25" s="128" t="str">
        <f t="shared" ca="1" si="7"/>
        <v/>
      </c>
      <c r="F25" s="129" t="str">
        <f t="shared" ca="1" si="7"/>
        <v/>
      </c>
      <c r="G25" s="128" t="str">
        <f t="shared" ca="1" si="7"/>
        <v/>
      </c>
      <c r="H25" s="129" t="str">
        <f t="shared" ca="1" si="7"/>
        <v/>
      </c>
      <c r="I25" s="128" t="str">
        <f t="shared" ca="1" si="7"/>
        <v/>
      </c>
      <c r="J25" s="129" t="str">
        <f t="shared" ca="1" si="7"/>
        <v/>
      </c>
      <c r="K25" s="128" t="str">
        <f t="shared" ca="1" si="7"/>
        <v/>
      </c>
      <c r="L25" s="131" t="str">
        <f t="shared" ca="1" si="7"/>
        <v/>
      </c>
      <c r="M25" s="223">
        <f ca="1">IFERROR(M19-M23,"")</f>
        <v>0</v>
      </c>
      <c r="O25" s="59"/>
    </row>
    <row r="26" spans="2:16" ht="15" customHeight="1" thickBot="1" x14ac:dyDescent="0.4">
      <c r="B26" s="233" t="s">
        <v>14</v>
      </c>
      <c r="C26" s="185"/>
      <c r="D26" s="389" t="s">
        <v>14</v>
      </c>
      <c r="E26" s="389"/>
      <c r="F26" s="389"/>
      <c r="G26" s="389"/>
      <c r="H26" s="389"/>
      <c r="I26" s="389"/>
      <c r="J26" s="389"/>
      <c r="K26" s="389"/>
      <c r="L26" s="389"/>
      <c r="M26" s="435"/>
      <c r="O26" s="431" t="s">
        <v>79</v>
      </c>
      <c r="P26" s="432"/>
    </row>
    <row r="27" spans="2:16" ht="15" customHeight="1" x14ac:dyDescent="0.35">
      <c r="B27" s="107" t="s">
        <v>15</v>
      </c>
      <c r="C27" s="154"/>
      <c r="D27" s="123" t="str">
        <f t="shared" ref="D27:L31" ca="1" si="8">IFERROR(IF(SUMIF(INDIRECT("PPA."&amp;HOUR(D$11)&amp;"!$D:$D"),$N27,INDIRECT("PPA."&amp;HOUR(D$11)&amp;"!$H:$H"))=0,"",SUMIF(INDIRECT("PPA."&amp;HOUR(D$11)&amp;"!$D:$D"),$N27,INDIRECT("PPA."&amp;HOUR(D$11)&amp;"!$H:$H"))),"")</f>
        <v/>
      </c>
      <c r="E27" s="23" t="str">
        <f t="shared" ca="1" si="8"/>
        <v/>
      </c>
      <c r="F27" s="123" t="str">
        <f t="shared" ca="1" si="8"/>
        <v/>
      </c>
      <c r="G27" s="23" t="str">
        <f t="shared" ca="1" si="8"/>
        <v/>
      </c>
      <c r="H27" s="123" t="str">
        <f t="shared" ca="1" si="8"/>
        <v/>
      </c>
      <c r="I27" s="23" t="str">
        <f t="shared" ca="1" si="8"/>
        <v/>
      </c>
      <c r="J27" s="123" t="str">
        <f t="shared" ca="1" si="8"/>
        <v/>
      </c>
      <c r="K27" s="23" t="str">
        <f t="shared" ca="1" si="8"/>
        <v/>
      </c>
      <c r="L27" s="215" t="str">
        <f t="shared" ca="1" si="8"/>
        <v/>
      </c>
      <c r="M27" s="235">
        <f ca="1">SUM(D27:L27)/8</f>
        <v>0</v>
      </c>
      <c r="N27" s="95">
        <v>100405</v>
      </c>
      <c r="O27" s="142">
        <f>C27*8</f>
        <v>0</v>
      </c>
      <c r="P27" s="26">
        <f ca="1">SUM(D27:L27)</f>
        <v>0</v>
      </c>
    </row>
    <row r="28" spans="2:16" ht="15" customHeight="1" x14ac:dyDescent="0.35">
      <c r="B28" s="107" t="s">
        <v>6</v>
      </c>
      <c r="C28" s="102"/>
      <c r="D28" s="124" t="str">
        <f t="shared" ca="1" si="8"/>
        <v/>
      </c>
      <c r="E28" s="23" t="str">
        <f t="shared" ca="1" si="8"/>
        <v/>
      </c>
      <c r="F28" s="124" t="str">
        <f t="shared" ca="1" si="8"/>
        <v/>
      </c>
      <c r="G28" s="23" t="str">
        <f t="shared" ca="1" si="8"/>
        <v/>
      </c>
      <c r="H28" s="124" t="str">
        <f t="shared" ca="1" si="8"/>
        <v/>
      </c>
      <c r="I28" s="23" t="str">
        <f t="shared" ca="1" si="8"/>
        <v/>
      </c>
      <c r="J28" s="124" t="str">
        <f t="shared" ca="1" si="8"/>
        <v/>
      </c>
      <c r="K28" s="23" t="str">
        <f t="shared" ca="1" si="8"/>
        <v/>
      </c>
      <c r="L28" s="216" t="str">
        <f t="shared" ca="1" si="8"/>
        <v/>
      </c>
      <c r="M28" s="194">
        <f t="shared" ref="M28:M44" ca="1" si="9">SUM(D28:L28)/8</f>
        <v>0</v>
      </c>
      <c r="N28" s="95">
        <v>100400</v>
      </c>
      <c r="O28" s="143">
        <f t="shared" ref="O28:O44" si="10">C28*8</f>
        <v>0</v>
      </c>
      <c r="P28" s="24">
        <f t="shared" ref="P28:P44" ca="1" si="11">SUM(D28:L28)</f>
        <v>0</v>
      </c>
    </row>
    <row r="29" spans="2:16" ht="15" customHeight="1" x14ac:dyDescent="0.35">
      <c r="B29" s="107" t="s">
        <v>7</v>
      </c>
      <c r="C29" s="102"/>
      <c r="D29" s="124" t="str">
        <f t="shared" ca="1" si="8"/>
        <v/>
      </c>
      <c r="E29" s="23" t="str">
        <f t="shared" ca="1" si="8"/>
        <v/>
      </c>
      <c r="F29" s="124" t="str">
        <f t="shared" ca="1" si="8"/>
        <v/>
      </c>
      <c r="G29" s="23" t="str">
        <f t="shared" ca="1" si="8"/>
        <v/>
      </c>
      <c r="H29" s="124" t="str">
        <f t="shared" ca="1" si="8"/>
        <v/>
      </c>
      <c r="I29" s="23" t="str">
        <f t="shared" ca="1" si="8"/>
        <v/>
      </c>
      <c r="J29" s="124" t="str">
        <f t="shared" ca="1" si="8"/>
        <v/>
      </c>
      <c r="K29" s="23" t="str">
        <f t="shared" ca="1" si="8"/>
        <v/>
      </c>
      <c r="L29" s="216" t="str">
        <f t="shared" ca="1" si="8"/>
        <v/>
      </c>
      <c r="M29" s="194">
        <f t="shared" ca="1" si="9"/>
        <v>0</v>
      </c>
      <c r="N29" s="95">
        <v>100020</v>
      </c>
      <c r="O29" s="143">
        <f t="shared" si="10"/>
        <v>0</v>
      </c>
      <c r="P29" s="24">
        <f t="shared" ca="1" si="11"/>
        <v>0</v>
      </c>
    </row>
    <row r="30" spans="2:16" ht="15" customHeight="1" x14ac:dyDescent="0.35">
      <c r="B30" s="107" t="s">
        <v>8</v>
      </c>
      <c r="C30" s="102"/>
      <c r="D30" s="124" t="str">
        <f t="shared" ca="1" si="8"/>
        <v/>
      </c>
      <c r="E30" s="23" t="str">
        <f t="shared" ca="1" si="8"/>
        <v/>
      </c>
      <c r="F30" s="124" t="str">
        <f t="shared" ca="1" si="8"/>
        <v/>
      </c>
      <c r="G30" s="23" t="str">
        <f t="shared" ca="1" si="8"/>
        <v/>
      </c>
      <c r="H30" s="124" t="str">
        <f t="shared" ca="1" si="8"/>
        <v/>
      </c>
      <c r="I30" s="23" t="str">
        <f t="shared" ca="1" si="8"/>
        <v/>
      </c>
      <c r="J30" s="124" t="str">
        <f t="shared" ca="1" si="8"/>
        <v/>
      </c>
      <c r="K30" s="23" t="str">
        <f t="shared" ca="1" si="8"/>
        <v/>
      </c>
      <c r="L30" s="216" t="str">
        <f t="shared" ca="1" si="8"/>
        <v/>
      </c>
      <c r="M30" s="194">
        <f t="shared" ca="1" si="9"/>
        <v>0</v>
      </c>
      <c r="N30" s="95">
        <v>100404</v>
      </c>
      <c r="O30" s="143">
        <f t="shared" si="10"/>
        <v>0</v>
      </c>
      <c r="P30" s="24">
        <f t="shared" ca="1" si="11"/>
        <v>0</v>
      </c>
    </row>
    <row r="31" spans="2:16" ht="15" customHeight="1" thickBot="1" x14ac:dyDescent="0.4">
      <c r="B31" s="107" t="s">
        <v>9</v>
      </c>
      <c r="C31" s="102"/>
      <c r="D31" s="124" t="str">
        <f t="shared" ca="1" si="8"/>
        <v/>
      </c>
      <c r="E31" s="23" t="str">
        <f t="shared" ca="1" si="8"/>
        <v/>
      </c>
      <c r="F31" s="124" t="str">
        <f t="shared" ca="1" si="8"/>
        <v/>
      </c>
      <c r="G31" s="23" t="str">
        <f t="shared" ca="1" si="8"/>
        <v/>
      </c>
      <c r="H31" s="124" t="str">
        <f t="shared" ca="1" si="8"/>
        <v/>
      </c>
      <c r="I31" s="23" t="str">
        <f t="shared" ca="1" si="8"/>
        <v/>
      </c>
      <c r="J31" s="124" t="str">
        <f t="shared" ca="1" si="8"/>
        <v/>
      </c>
      <c r="K31" s="23" t="str">
        <f t="shared" ca="1" si="8"/>
        <v/>
      </c>
      <c r="L31" s="216" t="str">
        <f t="shared" ca="1" si="8"/>
        <v/>
      </c>
      <c r="M31" s="236">
        <f t="shared" ca="1" si="9"/>
        <v>0</v>
      </c>
      <c r="N31" s="95">
        <v>100460</v>
      </c>
      <c r="O31" s="145">
        <f t="shared" si="10"/>
        <v>0</v>
      </c>
      <c r="P31" s="79">
        <f t="shared" ca="1" si="11"/>
        <v>0</v>
      </c>
    </row>
    <row r="32" spans="2:16" ht="15" customHeight="1" thickBot="1" x14ac:dyDescent="0.4">
      <c r="B32" s="222" t="s">
        <v>28</v>
      </c>
      <c r="C32" s="164"/>
      <c r="D32" s="128">
        <f ca="1">SUM(D27:D31)</f>
        <v>0</v>
      </c>
      <c r="E32" s="129">
        <f t="shared" ref="E32:L32" ca="1" si="12">SUM(E27:E31)</f>
        <v>0</v>
      </c>
      <c r="F32" s="128">
        <f t="shared" ca="1" si="12"/>
        <v>0</v>
      </c>
      <c r="G32" s="129">
        <f t="shared" ca="1" si="12"/>
        <v>0</v>
      </c>
      <c r="H32" s="128">
        <f t="shared" ca="1" si="12"/>
        <v>0</v>
      </c>
      <c r="I32" s="129">
        <f t="shared" ca="1" si="12"/>
        <v>0</v>
      </c>
      <c r="J32" s="128">
        <f t="shared" ca="1" si="12"/>
        <v>0</v>
      </c>
      <c r="K32" s="129">
        <f t="shared" ca="1" si="12"/>
        <v>0</v>
      </c>
      <c r="L32" s="238">
        <f t="shared" ca="1" si="12"/>
        <v>0</v>
      </c>
      <c r="M32" s="237">
        <f t="shared" ca="1" si="9"/>
        <v>0</v>
      </c>
      <c r="O32" s="102">
        <f t="shared" si="10"/>
        <v>0</v>
      </c>
      <c r="P32" s="135">
        <f t="shared" ca="1" si="11"/>
        <v>0</v>
      </c>
    </row>
    <row r="33" spans="2:16" ht="15" customHeight="1" x14ac:dyDescent="0.35">
      <c r="B33" s="107" t="s">
        <v>1</v>
      </c>
      <c r="C33" s="102"/>
      <c r="D33" s="124" t="str">
        <f t="shared" ref="D33:L35" ca="1" si="13">IFERROR(IF(SUMIF(INDIRECT("PPA."&amp;HOUR(D$11)&amp;"!$D:$D"),$N33,INDIRECT("PPA."&amp;HOUR(D$11)&amp;"!$H:$H"))=0,"",SUMIF(INDIRECT("PPA."&amp;HOUR(D$11)&amp;"!$D:$D"),$N33,INDIRECT("PPA."&amp;HOUR(D$11)&amp;"!$H:$H"))),"")</f>
        <v/>
      </c>
      <c r="E33" s="23" t="str">
        <f t="shared" ca="1" si="13"/>
        <v/>
      </c>
      <c r="F33" s="124" t="str">
        <f t="shared" ca="1" si="13"/>
        <v/>
      </c>
      <c r="G33" s="23" t="str">
        <f t="shared" ca="1" si="13"/>
        <v/>
      </c>
      <c r="H33" s="124" t="str">
        <f t="shared" ca="1" si="13"/>
        <v/>
      </c>
      <c r="I33" s="23" t="str">
        <f t="shared" ca="1" si="13"/>
        <v/>
      </c>
      <c r="J33" s="124" t="str">
        <f t="shared" ca="1" si="13"/>
        <v/>
      </c>
      <c r="K33" s="23" t="str">
        <f t="shared" ca="1" si="13"/>
        <v/>
      </c>
      <c r="L33" s="216" t="str">
        <f t="shared" ca="1" si="13"/>
        <v/>
      </c>
      <c r="M33" s="235">
        <f t="shared" ca="1" si="9"/>
        <v>0</v>
      </c>
      <c r="N33" s="95">
        <v>100440</v>
      </c>
      <c r="O33" s="142">
        <f t="shared" si="10"/>
        <v>0</v>
      </c>
      <c r="P33" s="26">
        <f t="shared" ca="1" si="11"/>
        <v>0</v>
      </c>
    </row>
    <row r="34" spans="2:16" ht="15" customHeight="1" x14ac:dyDescent="0.35">
      <c r="B34" s="107" t="s">
        <v>22</v>
      </c>
      <c r="C34" s="102"/>
      <c r="D34" s="124" t="str">
        <f t="shared" ca="1" si="13"/>
        <v/>
      </c>
      <c r="E34" s="23" t="str">
        <f t="shared" ca="1" si="13"/>
        <v/>
      </c>
      <c r="F34" s="124" t="str">
        <f t="shared" ca="1" si="13"/>
        <v/>
      </c>
      <c r="G34" s="23" t="str">
        <f t="shared" ca="1" si="13"/>
        <v/>
      </c>
      <c r="H34" s="124" t="str">
        <f t="shared" ca="1" si="13"/>
        <v/>
      </c>
      <c r="I34" s="23" t="str">
        <f t="shared" ca="1" si="13"/>
        <v/>
      </c>
      <c r="J34" s="124" t="str">
        <f t="shared" ca="1" si="13"/>
        <v/>
      </c>
      <c r="K34" s="23" t="str">
        <f t="shared" ca="1" si="13"/>
        <v/>
      </c>
      <c r="L34" s="216" t="str">
        <f t="shared" ca="1" si="13"/>
        <v/>
      </c>
      <c r="M34" s="194">
        <f t="shared" ca="1" si="9"/>
        <v>0</v>
      </c>
      <c r="N34" s="95">
        <v>100021</v>
      </c>
      <c r="O34" s="143">
        <f t="shared" si="10"/>
        <v>0</v>
      </c>
      <c r="P34" s="24">
        <f t="shared" ca="1" si="11"/>
        <v>0</v>
      </c>
    </row>
    <row r="35" spans="2:16" ht="15" customHeight="1" thickBot="1" x14ac:dyDescent="0.4">
      <c r="B35" s="107" t="s">
        <v>25</v>
      </c>
      <c r="C35" s="102"/>
      <c r="D35" s="124" t="str">
        <f t="shared" ca="1" si="13"/>
        <v/>
      </c>
      <c r="E35" s="23" t="str">
        <f t="shared" ca="1" si="13"/>
        <v/>
      </c>
      <c r="F35" s="124" t="str">
        <f t="shared" ca="1" si="13"/>
        <v/>
      </c>
      <c r="G35" s="23" t="str">
        <f t="shared" ca="1" si="13"/>
        <v/>
      </c>
      <c r="H35" s="124" t="str">
        <f t="shared" ca="1" si="13"/>
        <v/>
      </c>
      <c r="I35" s="23" t="str">
        <f t="shared" ca="1" si="13"/>
        <v/>
      </c>
      <c r="J35" s="124" t="str">
        <f t="shared" ca="1" si="13"/>
        <v/>
      </c>
      <c r="K35" s="23" t="str">
        <f t="shared" ca="1" si="13"/>
        <v/>
      </c>
      <c r="L35" s="216" t="str">
        <f t="shared" ca="1" si="13"/>
        <v/>
      </c>
      <c r="M35" s="236">
        <f t="shared" ca="1" si="9"/>
        <v>0</v>
      </c>
      <c r="N35" s="95">
        <v>100461</v>
      </c>
      <c r="O35" s="145">
        <f t="shared" si="10"/>
        <v>0</v>
      </c>
      <c r="P35" s="79">
        <f t="shared" ca="1" si="11"/>
        <v>0</v>
      </c>
    </row>
    <row r="36" spans="2:16" ht="15" customHeight="1" thickBot="1" x14ac:dyDescent="0.4">
      <c r="B36" s="222" t="s">
        <v>29</v>
      </c>
      <c r="C36" s="164"/>
      <c r="D36" s="128">
        <f ca="1">SUM(D33:D35)</f>
        <v>0</v>
      </c>
      <c r="E36" s="129">
        <f t="shared" ref="E36:L36" ca="1" si="14">SUM(E33:E35)</f>
        <v>0</v>
      </c>
      <c r="F36" s="128">
        <f t="shared" ca="1" si="14"/>
        <v>0</v>
      </c>
      <c r="G36" s="129">
        <f t="shared" ca="1" si="14"/>
        <v>0</v>
      </c>
      <c r="H36" s="128">
        <f t="shared" ca="1" si="14"/>
        <v>0</v>
      </c>
      <c r="I36" s="129">
        <f t="shared" ca="1" si="14"/>
        <v>0</v>
      </c>
      <c r="J36" s="128">
        <f t="shared" ca="1" si="14"/>
        <v>0</v>
      </c>
      <c r="K36" s="129">
        <f t="shared" ca="1" si="14"/>
        <v>0</v>
      </c>
      <c r="L36" s="238">
        <f t="shared" ca="1" si="14"/>
        <v>0</v>
      </c>
      <c r="M36" s="237">
        <f t="shared" ca="1" si="9"/>
        <v>0</v>
      </c>
      <c r="O36" s="102">
        <f t="shared" si="10"/>
        <v>0</v>
      </c>
      <c r="P36" s="135">
        <f t="shared" ca="1" si="11"/>
        <v>0</v>
      </c>
    </row>
    <row r="37" spans="2:16" ht="15" customHeight="1" x14ac:dyDescent="0.35">
      <c r="B37" s="146" t="s">
        <v>16</v>
      </c>
      <c r="C37" s="102"/>
      <c r="D37" s="124" t="str">
        <f t="shared" ref="D37:L42" ca="1" si="15">IFERROR(IF(SUMIF(INDIRECT("PPA."&amp;HOUR(D$11)&amp;"!$D:$D"),$N37,INDIRECT("PPA."&amp;HOUR(D$11)&amp;"!$H:$H"))=0,"",SUMIF(INDIRECT("PPA."&amp;HOUR(D$11)&amp;"!$D:$D"),$N37,INDIRECT("PPA."&amp;HOUR(D$11)&amp;"!$H:$H"))),"")</f>
        <v/>
      </c>
      <c r="E37" s="23" t="str">
        <f t="shared" ca="1" si="15"/>
        <v/>
      </c>
      <c r="F37" s="124" t="str">
        <f t="shared" ca="1" si="15"/>
        <v/>
      </c>
      <c r="G37" s="23" t="str">
        <f t="shared" ca="1" si="15"/>
        <v/>
      </c>
      <c r="H37" s="124" t="str">
        <f t="shared" ca="1" si="15"/>
        <v/>
      </c>
      <c r="I37" s="23" t="str">
        <f t="shared" ca="1" si="15"/>
        <v/>
      </c>
      <c r="J37" s="124" t="str">
        <f t="shared" ca="1" si="15"/>
        <v/>
      </c>
      <c r="K37" s="23" t="str">
        <f t="shared" ca="1" si="15"/>
        <v/>
      </c>
      <c r="L37" s="216" t="str">
        <f t="shared" ca="1" si="15"/>
        <v/>
      </c>
      <c r="M37" s="235">
        <f t="shared" ca="1" si="9"/>
        <v>0</v>
      </c>
      <c r="N37" s="95">
        <v>100465</v>
      </c>
      <c r="O37" s="142">
        <f t="shared" si="10"/>
        <v>0</v>
      </c>
      <c r="P37" s="26">
        <f t="shared" ca="1" si="11"/>
        <v>0</v>
      </c>
    </row>
    <row r="38" spans="2:16" ht="15" customHeight="1" x14ac:dyDescent="0.35">
      <c r="B38" s="147" t="s">
        <v>23</v>
      </c>
      <c r="C38" s="102"/>
      <c r="D38" s="124" t="str">
        <f t="shared" ca="1" si="15"/>
        <v/>
      </c>
      <c r="E38" s="23" t="str">
        <f t="shared" ca="1" si="15"/>
        <v/>
      </c>
      <c r="F38" s="124" t="str">
        <f t="shared" ca="1" si="15"/>
        <v/>
      </c>
      <c r="G38" s="23" t="str">
        <f t="shared" ca="1" si="15"/>
        <v/>
      </c>
      <c r="H38" s="124" t="str">
        <f t="shared" ca="1" si="15"/>
        <v/>
      </c>
      <c r="I38" s="23" t="str">
        <f t="shared" ca="1" si="15"/>
        <v/>
      </c>
      <c r="J38" s="124" t="str">
        <f t="shared" ca="1" si="15"/>
        <v/>
      </c>
      <c r="K38" s="23" t="str">
        <f t="shared" ca="1" si="15"/>
        <v/>
      </c>
      <c r="L38" s="216" t="str">
        <f t="shared" ca="1" si="15"/>
        <v/>
      </c>
      <c r="M38" s="194">
        <f t="shared" ca="1" si="9"/>
        <v>0</v>
      </c>
      <c r="N38" s="95">
        <v>100464</v>
      </c>
      <c r="O38" s="143">
        <f t="shared" si="10"/>
        <v>0</v>
      </c>
      <c r="P38" s="24">
        <f t="shared" ca="1" si="11"/>
        <v>0</v>
      </c>
    </row>
    <row r="39" spans="2:16" ht="15" customHeight="1" x14ac:dyDescent="0.35">
      <c r="B39" s="147" t="s">
        <v>11</v>
      </c>
      <c r="C39" s="102"/>
      <c r="D39" s="124" t="str">
        <f t="shared" ca="1" si="15"/>
        <v/>
      </c>
      <c r="E39" s="23" t="str">
        <f t="shared" ca="1" si="15"/>
        <v/>
      </c>
      <c r="F39" s="124" t="str">
        <f t="shared" ca="1" si="15"/>
        <v/>
      </c>
      <c r="G39" s="23" t="str">
        <f t="shared" ca="1" si="15"/>
        <v/>
      </c>
      <c r="H39" s="124" t="str">
        <f t="shared" ca="1" si="15"/>
        <v/>
      </c>
      <c r="I39" s="23" t="str">
        <f t="shared" ca="1" si="15"/>
        <v/>
      </c>
      <c r="J39" s="124" t="str">
        <f t="shared" ca="1" si="15"/>
        <v/>
      </c>
      <c r="K39" s="23" t="str">
        <f t="shared" ca="1" si="15"/>
        <v/>
      </c>
      <c r="L39" s="216" t="str">
        <f t="shared" ca="1" si="15"/>
        <v/>
      </c>
      <c r="M39" s="194">
        <f t="shared" ca="1" si="9"/>
        <v>0</v>
      </c>
      <c r="N39" s="95">
        <v>100410</v>
      </c>
      <c r="O39" s="143"/>
      <c r="P39" s="24"/>
    </row>
    <row r="40" spans="2:16" ht="15" customHeight="1" x14ac:dyDescent="0.35">
      <c r="B40" s="107" t="s">
        <v>19</v>
      </c>
      <c r="C40" s="102"/>
      <c r="D40" s="124" t="str">
        <f t="shared" ca="1" si="15"/>
        <v/>
      </c>
      <c r="E40" s="23" t="str">
        <f t="shared" ca="1" si="15"/>
        <v/>
      </c>
      <c r="F40" s="124" t="str">
        <f t="shared" ca="1" si="15"/>
        <v/>
      </c>
      <c r="G40" s="23" t="str">
        <f t="shared" ca="1" si="15"/>
        <v/>
      </c>
      <c r="H40" s="124" t="str">
        <f t="shared" ca="1" si="15"/>
        <v/>
      </c>
      <c r="I40" s="23" t="str">
        <f t="shared" ca="1" si="15"/>
        <v/>
      </c>
      <c r="J40" s="124" t="str">
        <f t="shared" ca="1" si="15"/>
        <v/>
      </c>
      <c r="K40" s="23" t="str">
        <f t="shared" ca="1" si="15"/>
        <v/>
      </c>
      <c r="L40" s="216" t="str">
        <f t="shared" ca="1" si="15"/>
        <v/>
      </c>
      <c r="M40" s="194">
        <f t="shared" ca="1" si="9"/>
        <v>0</v>
      </c>
      <c r="N40" s="95">
        <v>100436</v>
      </c>
      <c r="O40" s="143">
        <f t="shared" si="10"/>
        <v>0</v>
      </c>
      <c r="P40" s="24">
        <f t="shared" ca="1" si="11"/>
        <v>0</v>
      </c>
    </row>
    <row r="41" spans="2:16" ht="15" customHeight="1" x14ac:dyDescent="0.35">
      <c r="B41" s="107" t="s">
        <v>24</v>
      </c>
      <c r="C41" s="102"/>
      <c r="D41" s="124" t="str">
        <f t="shared" ca="1" si="15"/>
        <v/>
      </c>
      <c r="E41" s="23" t="str">
        <f t="shared" ca="1" si="15"/>
        <v/>
      </c>
      <c r="F41" s="124" t="str">
        <f t="shared" ca="1" si="15"/>
        <v/>
      </c>
      <c r="G41" s="23" t="str">
        <f t="shared" ca="1" si="15"/>
        <v/>
      </c>
      <c r="H41" s="124" t="str">
        <f t="shared" ca="1" si="15"/>
        <v/>
      </c>
      <c r="I41" s="23" t="str">
        <f t="shared" ca="1" si="15"/>
        <v/>
      </c>
      <c r="J41" s="124" t="str">
        <f t="shared" ca="1" si="15"/>
        <v/>
      </c>
      <c r="K41" s="23" t="str">
        <f t="shared" ca="1" si="15"/>
        <v/>
      </c>
      <c r="L41" s="216" t="str">
        <f t="shared" ca="1" si="15"/>
        <v/>
      </c>
      <c r="M41" s="194">
        <f t="shared" ca="1" si="9"/>
        <v>0</v>
      </c>
      <c r="N41" s="95">
        <v>100429</v>
      </c>
      <c r="O41" s="143">
        <f t="shared" si="10"/>
        <v>0</v>
      </c>
      <c r="P41" s="24">
        <f t="shared" ca="1" si="11"/>
        <v>0</v>
      </c>
    </row>
    <row r="42" spans="2:16" ht="15" customHeight="1" thickBot="1" x14ac:dyDescent="0.4">
      <c r="B42" s="169" t="s">
        <v>13</v>
      </c>
      <c r="C42" s="102"/>
      <c r="D42" s="124" t="str">
        <f t="shared" ca="1" si="15"/>
        <v/>
      </c>
      <c r="E42" s="23" t="str">
        <f t="shared" ca="1" si="15"/>
        <v/>
      </c>
      <c r="F42" s="124" t="str">
        <f t="shared" ca="1" si="15"/>
        <v/>
      </c>
      <c r="G42" s="23" t="str">
        <f t="shared" ca="1" si="15"/>
        <v/>
      </c>
      <c r="H42" s="124" t="str">
        <f t="shared" ca="1" si="15"/>
        <v/>
      </c>
      <c r="I42" s="23" t="str">
        <f t="shared" ca="1" si="15"/>
        <v/>
      </c>
      <c r="J42" s="124" t="str">
        <f t="shared" ca="1" si="15"/>
        <v/>
      </c>
      <c r="K42" s="23" t="str">
        <f t="shared" ca="1" si="15"/>
        <v/>
      </c>
      <c r="L42" s="216" t="str">
        <f t="shared" ca="1" si="15"/>
        <v/>
      </c>
      <c r="M42" s="236">
        <f t="shared" ca="1" si="9"/>
        <v>0</v>
      </c>
      <c r="N42" s="95">
        <v>100470</v>
      </c>
      <c r="O42" s="145">
        <f t="shared" si="10"/>
        <v>0</v>
      </c>
      <c r="P42" s="79">
        <f t="shared" ca="1" si="11"/>
        <v>0</v>
      </c>
    </row>
    <row r="43" spans="2:16" ht="15" customHeight="1" thickBot="1" x14ac:dyDescent="0.4">
      <c r="B43" s="222" t="s">
        <v>30</v>
      </c>
      <c r="C43" s="164"/>
      <c r="D43" s="128">
        <f ca="1">SUM(D37:D42)</f>
        <v>0</v>
      </c>
      <c r="E43" s="129">
        <f t="shared" ref="E43:L43" ca="1" si="16">SUM(E37:E42)</f>
        <v>0</v>
      </c>
      <c r="F43" s="128">
        <f t="shared" ca="1" si="16"/>
        <v>0</v>
      </c>
      <c r="G43" s="129">
        <f t="shared" ca="1" si="16"/>
        <v>0</v>
      </c>
      <c r="H43" s="128">
        <f t="shared" ca="1" si="16"/>
        <v>0</v>
      </c>
      <c r="I43" s="129">
        <f t="shared" ca="1" si="16"/>
        <v>0</v>
      </c>
      <c r="J43" s="128">
        <f t="shared" ca="1" si="16"/>
        <v>0</v>
      </c>
      <c r="K43" s="129">
        <f t="shared" ca="1" si="16"/>
        <v>0</v>
      </c>
      <c r="L43" s="238">
        <f t="shared" ca="1" si="16"/>
        <v>0</v>
      </c>
      <c r="M43" s="237">
        <f t="shared" ca="1" si="9"/>
        <v>0</v>
      </c>
      <c r="O43" s="102">
        <f t="shared" si="10"/>
        <v>0</v>
      </c>
      <c r="P43" s="135">
        <f t="shared" ca="1" si="11"/>
        <v>0</v>
      </c>
    </row>
    <row r="44" spans="2:16" ht="15" customHeight="1" thickBot="1" x14ac:dyDescent="0.4">
      <c r="B44" s="222" t="s">
        <v>4</v>
      </c>
      <c r="C44" s="164">
        <f>SUM(C43,C36,C32)</f>
        <v>0</v>
      </c>
      <c r="D44" s="128">
        <f ca="1">SUM(D43,D36,D32)</f>
        <v>0</v>
      </c>
      <c r="E44" s="129">
        <f t="shared" ref="E44:L44" ca="1" si="17">SUM(E43,E36,E32)</f>
        <v>0</v>
      </c>
      <c r="F44" s="128">
        <f t="shared" ca="1" si="17"/>
        <v>0</v>
      </c>
      <c r="G44" s="129">
        <f t="shared" ca="1" si="17"/>
        <v>0</v>
      </c>
      <c r="H44" s="128">
        <f t="shared" ca="1" si="17"/>
        <v>0</v>
      </c>
      <c r="I44" s="129">
        <f t="shared" ca="1" si="17"/>
        <v>0</v>
      </c>
      <c r="J44" s="128">
        <f t="shared" ca="1" si="17"/>
        <v>0</v>
      </c>
      <c r="K44" s="129">
        <f t="shared" ca="1" si="17"/>
        <v>0</v>
      </c>
      <c r="L44" s="238">
        <f t="shared" ca="1" si="17"/>
        <v>0</v>
      </c>
      <c r="M44" s="237">
        <f t="shared" ca="1" si="9"/>
        <v>0</v>
      </c>
      <c r="O44" s="144">
        <f t="shared" si="10"/>
        <v>0</v>
      </c>
      <c r="P44" s="136">
        <f t="shared" ca="1" si="11"/>
        <v>0</v>
      </c>
    </row>
    <row r="45" spans="2:16" ht="15" customHeight="1" thickBot="1" x14ac:dyDescent="0.4">
      <c r="B45" s="233" t="s">
        <v>44</v>
      </c>
      <c r="C45" s="184"/>
      <c r="D45" s="389" t="s">
        <v>44</v>
      </c>
      <c r="E45" s="389"/>
      <c r="F45" s="389"/>
      <c r="G45" s="389"/>
      <c r="H45" s="389"/>
      <c r="I45" s="389"/>
      <c r="J45" s="389"/>
      <c r="K45" s="389"/>
      <c r="L45" s="389"/>
      <c r="M45" s="435"/>
    </row>
    <row r="46" spans="2:16" ht="15" customHeight="1" x14ac:dyDescent="0.35">
      <c r="B46" s="107" t="s">
        <v>15</v>
      </c>
      <c r="C46" s="142"/>
      <c r="D46" s="123" t="str">
        <f t="shared" ref="D46:L46" ca="1" si="18">IFERROR(D$16/D27,"")</f>
        <v/>
      </c>
      <c r="E46" s="123" t="str">
        <f t="shared" ca="1" si="18"/>
        <v/>
      </c>
      <c r="F46" s="123" t="str">
        <f t="shared" ca="1" si="18"/>
        <v/>
      </c>
      <c r="G46" s="121" t="str">
        <f t="shared" ca="1" si="18"/>
        <v/>
      </c>
      <c r="H46" s="123" t="str">
        <f t="shared" ca="1" si="18"/>
        <v/>
      </c>
      <c r="I46" s="123" t="str">
        <f t="shared" ca="1" si="18"/>
        <v/>
      </c>
      <c r="J46" s="123" t="str">
        <f t="shared" ca="1" si="18"/>
        <v/>
      </c>
      <c r="K46" s="123" t="str">
        <f t="shared" ca="1" si="18"/>
        <v/>
      </c>
      <c r="L46" s="25" t="str">
        <f t="shared" ca="1" si="18"/>
        <v/>
      </c>
      <c r="M46" s="220" t="str">
        <f t="shared" ref="M46:M51" ca="1" si="19">IFERROR(M$19/P27,"")</f>
        <v/>
      </c>
    </row>
    <row r="47" spans="2:16" ht="15" customHeight="1" x14ac:dyDescent="0.35">
      <c r="B47" s="107" t="s">
        <v>6</v>
      </c>
      <c r="C47" s="143"/>
      <c r="D47" s="124" t="str">
        <f t="shared" ref="D47:L47" ca="1" si="20">IFERROR(D$16/D28,"")</f>
        <v/>
      </c>
      <c r="E47" s="124" t="str">
        <f t="shared" ca="1" si="20"/>
        <v/>
      </c>
      <c r="F47" s="124" t="str">
        <f t="shared" ca="1" si="20"/>
        <v/>
      </c>
      <c r="G47" s="122" t="str">
        <f t="shared" ca="1" si="20"/>
        <v/>
      </c>
      <c r="H47" s="124" t="str">
        <f t="shared" ca="1" si="20"/>
        <v/>
      </c>
      <c r="I47" s="124" t="str">
        <f t="shared" ca="1" si="20"/>
        <v/>
      </c>
      <c r="J47" s="124" t="str">
        <f t="shared" ca="1" si="20"/>
        <v/>
      </c>
      <c r="K47" s="124" t="str">
        <f t="shared" ca="1" si="20"/>
        <v/>
      </c>
      <c r="L47" s="23" t="str">
        <f t="shared" ca="1" si="20"/>
        <v/>
      </c>
      <c r="M47" s="221" t="str">
        <f t="shared" ca="1" si="19"/>
        <v/>
      </c>
    </row>
    <row r="48" spans="2:16" ht="15" customHeight="1" x14ac:dyDescent="0.35">
      <c r="B48" s="107" t="s">
        <v>7</v>
      </c>
      <c r="C48" s="143"/>
      <c r="D48" s="150" t="str">
        <f t="shared" ref="D48:L48" ca="1" si="21">IFERROR(D$16/D29,"")</f>
        <v/>
      </c>
      <c r="E48" s="124" t="str">
        <f t="shared" ca="1" si="21"/>
        <v/>
      </c>
      <c r="F48" s="124" t="str">
        <f t="shared" ca="1" si="21"/>
        <v/>
      </c>
      <c r="G48" s="122" t="str">
        <f t="shared" ca="1" si="21"/>
        <v/>
      </c>
      <c r="H48" s="124" t="str">
        <f t="shared" ca="1" si="21"/>
        <v/>
      </c>
      <c r="I48" s="124" t="str">
        <f t="shared" ca="1" si="21"/>
        <v/>
      </c>
      <c r="J48" s="124" t="str">
        <f t="shared" ca="1" si="21"/>
        <v/>
      </c>
      <c r="K48" s="124" t="str">
        <f t="shared" ca="1" si="21"/>
        <v/>
      </c>
      <c r="L48" s="23" t="str">
        <f t="shared" ca="1" si="21"/>
        <v/>
      </c>
      <c r="M48" s="221" t="str">
        <f t="shared" ca="1" si="19"/>
        <v/>
      </c>
    </row>
    <row r="49" spans="2:17" ht="15" customHeight="1" x14ac:dyDescent="0.35">
      <c r="B49" s="107" t="s">
        <v>8</v>
      </c>
      <c r="C49" s="143"/>
      <c r="D49" s="150" t="str">
        <f t="shared" ref="D49:L49" ca="1" si="22">IFERROR(D$16/D30,"")</f>
        <v/>
      </c>
      <c r="E49" s="124" t="str">
        <f t="shared" ca="1" si="22"/>
        <v/>
      </c>
      <c r="F49" s="124" t="str">
        <f t="shared" ca="1" si="22"/>
        <v/>
      </c>
      <c r="G49" s="122" t="str">
        <f t="shared" ca="1" si="22"/>
        <v/>
      </c>
      <c r="H49" s="124" t="str">
        <f t="shared" ca="1" si="22"/>
        <v/>
      </c>
      <c r="I49" s="124" t="str">
        <f t="shared" ca="1" si="22"/>
        <v/>
      </c>
      <c r="J49" s="124" t="str">
        <f t="shared" ca="1" si="22"/>
        <v/>
      </c>
      <c r="K49" s="124" t="str">
        <f t="shared" ca="1" si="22"/>
        <v/>
      </c>
      <c r="L49" s="23" t="str">
        <f t="shared" ca="1" si="22"/>
        <v/>
      </c>
      <c r="M49" s="221" t="str">
        <f t="shared" ca="1" si="19"/>
        <v/>
      </c>
    </row>
    <row r="50" spans="2:17" ht="15" customHeight="1" thickBot="1" x14ac:dyDescent="0.4">
      <c r="B50" s="107" t="s">
        <v>9</v>
      </c>
      <c r="C50" s="143"/>
      <c r="D50" s="150" t="str">
        <f t="shared" ref="D50:L50" ca="1" si="23">IFERROR(D$16/D31,"")</f>
        <v/>
      </c>
      <c r="E50" s="124" t="str">
        <f t="shared" ca="1" si="23"/>
        <v/>
      </c>
      <c r="F50" s="124" t="str">
        <f t="shared" ca="1" si="23"/>
        <v/>
      </c>
      <c r="G50" s="122" t="str">
        <f t="shared" ca="1" si="23"/>
        <v/>
      </c>
      <c r="H50" s="124" t="str">
        <f t="shared" ca="1" si="23"/>
        <v/>
      </c>
      <c r="I50" s="124" t="str">
        <f t="shared" ca="1" si="23"/>
        <v/>
      </c>
      <c r="J50" s="124" t="str">
        <f t="shared" ca="1" si="23"/>
        <v/>
      </c>
      <c r="K50" s="124" t="str">
        <f t="shared" ca="1" si="23"/>
        <v/>
      </c>
      <c r="L50" s="23" t="str">
        <f t="shared" ca="1" si="23"/>
        <v/>
      </c>
      <c r="M50" s="224" t="str">
        <f t="shared" ca="1" si="19"/>
        <v/>
      </c>
    </row>
    <row r="51" spans="2:17" ht="15" customHeight="1" thickBot="1" x14ac:dyDescent="0.4">
      <c r="B51" s="222" t="s">
        <v>28</v>
      </c>
      <c r="C51" s="144"/>
      <c r="D51" s="151" t="str">
        <f t="shared" ref="D51:L51" ca="1" si="24">IFERROR(D$16/D32,"")</f>
        <v/>
      </c>
      <c r="E51" s="128" t="str">
        <f t="shared" ca="1" si="24"/>
        <v/>
      </c>
      <c r="F51" s="128" t="str">
        <f t="shared" ca="1" si="24"/>
        <v/>
      </c>
      <c r="G51" s="130" t="str">
        <f t="shared" ca="1" si="24"/>
        <v/>
      </c>
      <c r="H51" s="128" t="str">
        <f t="shared" ca="1" si="24"/>
        <v/>
      </c>
      <c r="I51" s="128" t="str">
        <f t="shared" ca="1" si="24"/>
        <v/>
      </c>
      <c r="J51" s="128" t="str">
        <f t="shared" ca="1" si="24"/>
        <v/>
      </c>
      <c r="K51" s="128" t="str">
        <f t="shared" ca="1" si="24"/>
        <v/>
      </c>
      <c r="L51" s="129" t="str">
        <f t="shared" ca="1" si="24"/>
        <v/>
      </c>
      <c r="M51" s="221" t="str">
        <f t="shared" ca="1" si="19"/>
        <v/>
      </c>
    </row>
    <row r="52" spans="2:17" ht="15" customHeight="1" x14ac:dyDescent="0.35">
      <c r="B52" s="107" t="s">
        <v>1</v>
      </c>
      <c r="C52" s="143"/>
      <c r="D52" s="150" t="str">
        <f t="shared" ref="D52:L52" ca="1" si="25">IFERROR(D$22/D33,"")</f>
        <v/>
      </c>
      <c r="E52" s="124" t="str">
        <f t="shared" ca="1" si="25"/>
        <v/>
      </c>
      <c r="F52" s="124" t="str">
        <f t="shared" ca="1" si="25"/>
        <v/>
      </c>
      <c r="G52" s="122" t="str">
        <f t="shared" ca="1" si="25"/>
        <v/>
      </c>
      <c r="H52" s="124" t="str">
        <f t="shared" ca="1" si="25"/>
        <v/>
      </c>
      <c r="I52" s="124" t="str">
        <f t="shared" ca="1" si="25"/>
        <v/>
      </c>
      <c r="J52" s="124" t="str">
        <f t="shared" ca="1" si="25"/>
        <v/>
      </c>
      <c r="K52" s="124" t="str">
        <f t="shared" ca="1" si="25"/>
        <v/>
      </c>
      <c r="L52" s="23" t="str">
        <f t="shared" ca="1" si="25"/>
        <v/>
      </c>
      <c r="M52" s="220" t="str">
        <f t="shared" ref="M52:M61" ca="1" si="26">IFERROR(M$23/P33,"")</f>
        <v/>
      </c>
      <c r="O52" s="57"/>
    </row>
    <row r="53" spans="2:17" ht="15" customHeight="1" x14ac:dyDescent="0.35">
      <c r="B53" s="107" t="s">
        <v>22</v>
      </c>
      <c r="C53" s="143"/>
      <c r="D53" s="150" t="str">
        <f t="shared" ref="D53:L53" ca="1" si="27">IFERROR(D$22/D34,"")</f>
        <v/>
      </c>
      <c r="E53" s="124" t="str">
        <f t="shared" ca="1" si="27"/>
        <v/>
      </c>
      <c r="F53" s="124" t="str">
        <f t="shared" ca="1" si="27"/>
        <v/>
      </c>
      <c r="G53" s="122" t="str">
        <f t="shared" ca="1" si="27"/>
        <v/>
      </c>
      <c r="H53" s="124" t="str">
        <f t="shared" ca="1" si="27"/>
        <v/>
      </c>
      <c r="I53" s="124" t="str">
        <f t="shared" ca="1" si="27"/>
        <v/>
      </c>
      <c r="J53" s="124" t="str">
        <f t="shared" ca="1" si="27"/>
        <v/>
      </c>
      <c r="K53" s="124" t="str">
        <f t="shared" ca="1" si="27"/>
        <v/>
      </c>
      <c r="L53" s="23" t="str">
        <f t="shared" ca="1" si="27"/>
        <v/>
      </c>
      <c r="M53" s="221" t="str">
        <f t="shared" ca="1" si="26"/>
        <v/>
      </c>
      <c r="O53" s="56"/>
    </row>
    <row r="54" spans="2:17" ht="15" customHeight="1" thickBot="1" x14ac:dyDescent="0.4">
      <c r="B54" s="107" t="s">
        <v>25</v>
      </c>
      <c r="C54" s="143"/>
      <c r="D54" s="150" t="str">
        <f t="shared" ref="D54:L54" ca="1" si="28">IFERROR(D$22/D35,"")</f>
        <v/>
      </c>
      <c r="E54" s="124" t="str">
        <f t="shared" ca="1" si="28"/>
        <v/>
      </c>
      <c r="F54" s="124" t="str">
        <f t="shared" ca="1" si="28"/>
        <v/>
      </c>
      <c r="G54" s="122" t="str">
        <f t="shared" ca="1" si="28"/>
        <v/>
      </c>
      <c r="H54" s="124" t="str">
        <f t="shared" ca="1" si="28"/>
        <v/>
      </c>
      <c r="I54" s="124" t="str">
        <f t="shared" ca="1" si="28"/>
        <v/>
      </c>
      <c r="J54" s="124" t="str">
        <f t="shared" ca="1" si="28"/>
        <v/>
      </c>
      <c r="K54" s="124" t="str">
        <f t="shared" ca="1" si="28"/>
        <v/>
      </c>
      <c r="L54" s="23" t="str">
        <f t="shared" ca="1" si="28"/>
        <v/>
      </c>
      <c r="M54" s="224" t="str">
        <f t="shared" ca="1" si="26"/>
        <v/>
      </c>
      <c r="O54" s="56"/>
    </row>
    <row r="55" spans="2:17" ht="15" customHeight="1" thickBot="1" x14ac:dyDescent="0.4">
      <c r="B55" s="222" t="s">
        <v>29</v>
      </c>
      <c r="C55" s="144"/>
      <c r="D55" s="151" t="str">
        <f t="shared" ref="D55:L55" ca="1" si="29">IFERROR(D$22/D36,"")</f>
        <v/>
      </c>
      <c r="E55" s="128" t="str">
        <f t="shared" ca="1" si="29"/>
        <v/>
      </c>
      <c r="F55" s="128" t="str">
        <f t="shared" ca="1" si="29"/>
        <v/>
      </c>
      <c r="G55" s="130" t="str">
        <f t="shared" ca="1" si="29"/>
        <v/>
      </c>
      <c r="H55" s="128" t="str">
        <f t="shared" ca="1" si="29"/>
        <v/>
      </c>
      <c r="I55" s="128" t="str">
        <f t="shared" ca="1" si="29"/>
        <v/>
      </c>
      <c r="J55" s="128" t="str">
        <f t="shared" ca="1" si="29"/>
        <v/>
      </c>
      <c r="K55" s="128" t="str">
        <f t="shared" ca="1" si="29"/>
        <v/>
      </c>
      <c r="L55" s="129" t="str">
        <f t="shared" ca="1" si="29"/>
        <v/>
      </c>
      <c r="M55" s="221" t="str">
        <f t="shared" ca="1" si="26"/>
        <v/>
      </c>
      <c r="O55" s="56"/>
    </row>
    <row r="56" spans="2:17" ht="15" customHeight="1" x14ac:dyDescent="0.35">
      <c r="B56" s="146" t="s">
        <v>16</v>
      </c>
      <c r="C56" s="143"/>
      <c r="D56" s="150" t="str">
        <f t="shared" ref="D56:L56" ca="1" si="30">IFERROR(D$22/D37,"")</f>
        <v/>
      </c>
      <c r="E56" s="124" t="str">
        <f t="shared" ca="1" si="30"/>
        <v/>
      </c>
      <c r="F56" s="124" t="str">
        <f t="shared" ca="1" si="30"/>
        <v/>
      </c>
      <c r="G56" s="122" t="str">
        <f t="shared" ca="1" si="30"/>
        <v/>
      </c>
      <c r="H56" s="124" t="str">
        <f t="shared" ca="1" si="30"/>
        <v/>
      </c>
      <c r="I56" s="124" t="str">
        <f t="shared" ca="1" si="30"/>
        <v/>
      </c>
      <c r="J56" s="124" t="str">
        <f t="shared" ca="1" si="30"/>
        <v/>
      </c>
      <c r="K56" s="124" t="str">
        <f t="shared" ca="1" si="30"/>
        <v/>
      </c>
      <c r="L56" s="23" t="str">
        <f t="shared" ca="1" si="30"/>
        <v/>
      </c>
      <c r="M56" s="220" t="str">
        <f t="shared" ca="1" si="26"/>
        <v/>
      </c>
      <c r="O56" s="56"/>
    </row>
    <row r="57" spans="2:17" ht="15" customHeight="1" x14ac:dyDescent="0.35">
      <c r="B57" s="147" t="s">
        <v>23</v>
      </c>
      <c r="C57" s="143"/>
      <c r="D57" s="150" t="str">
        <f t="shared" ref="D57:L57" ca="1" si="31">IFERROR(D$22/D38,"")</f>
        <v/>
      </c>
      <c r="E57" s="124" t="str">
        <f t="shared" ca="1" si="31"/>
        <v/>
      </c>
      <c r="F57" s="124" t="str">
        <f t="shared" ca="1" si="31"/>
        <v/>
      </c>
      <c r="G57" s="122" t="str">
        <f t="shared" ca="1" si="31"/>
        <v/>
      </c>
      <c r="H57" s="124" t="str">
        <f t="shared" ca="1" si="31"/>
        <v/>
      </c>
      <c r="I57" s="124" t="str">
        <f t="shared" ca="1" si="31"/>
        <v/>
      </c>
      <c r="J57" s="124" t="str">
        <f t="shared" ca="1" si="31"/>
        <v/>
      </c>
      <c r="K57" s="124" t="str">
        <f t="shared" ca="1" si="31"/>
        <v/>
      </c>
      <c r="L57" s="23" t="str">
        <f t="shared" ca="1" si="31"/>
        <v/>
      </c>
      <c r="M57" s="221" t="str">
        <f t="shared" ca="1" si="26"/>
        <v/>
      </c>
      <c r="O57" s="56"/>
    </row>
    <row r="58" spans="2:17" ht="15" customHeight="1" x14ac:dyDescent="0.35">
      <c r="B58" s="147" t="s">
        <v>11</v>
      </c>
      <c r="C58" s="143"/>
      <c r="D58" s="208" t="str">
        <f t="shared" ref="D58:E60" ca="1" si="32">IFERROR(D$22/D39,"")</f>
        <v/>
      </c>
      <c r="E58" s="124" t="str">
        <f t="shared" ca="1" si="32"/>
        <v/>
      </c>
      <c r="F58" s="23" t="str">
        <f t="shared" ref="F58:L58" ca="1" si="33">IFERROR(F$22/F39,"")</f>
        <v/>
      </c>
      <c r="G58" s="124" t="str">
        <f t="shared" ca="1" si="33"/>
        <v/>
      </c>
      <c r="H58" s="23" t="str">
        <f t="shared" ca="1" si="33"/>
        <v/>
      </c>
      <c r="I58" s="124" t="str">
        <f t="shared" ca="1" si="33"/>
        <v/>
      </c>
      <c r="J58" s="23" t="str">
        <f t="shared" ca="1" si="33"/>
        <v/>
      </c>
      <c r="K58" s="124" t="str">
        <f t="shared" ca="1" si="33"/>
        <v/>
      </c>
      <c r="L58" s="122" t="str">
        <f t="shared" ca="1" si="33"/>
        <v/>
      </c>
      <c r="M58" s="221" t="str">
        <f t="shared" ca="1" si="26"/>
        <v/>
      </c>
      <c r="O58" s="56"/>
    </row>
    <row r="59" spans="2:17" ht="15" customHeight="1" x14ac:dyDescent="0.35">
      <c r="B59" s="107" t="s">
        <v>19</v>
      </c>
      <c r="C59" s="143"/>
      <c r="D59" s="150" t="str">
        <f t="shared" ca="1" si="32"/>
        <v/>
      </c>
      <c r="E59" s="124" t="str">
        <f t="shared" ca="1" si="32"/>
        <v/>
      </c>
      <c r="F59" s="124" t="str">
        <f t="shared" ref="F59:L60" ca="1" si="34">IFERROR(F$22/F40,"")</f>
        <v/>
      </c>
      <c r="G59" s="122" t="str">
        <f t="shared" ca="1" si="34"/>
        <v/>
      </c>
      <c r="H59" s="124" t="str">
        <f t="shared" ca="1" si="34"/>
        <v/>
      </c>
      <c r="I59" s="124" t="str">
        <f t="shared" ca="1" si="34"/>
        <v/>
      </c>
      <c r="J59" s="124" t="str">
        <f t="shared" ca="1" si="34"/>
        <v/>
      </c>
      <c r="K59" s="124" t="str">
        <f t="shared" ca="1" si="34"/>
        <v/>
      </c>
      <c r="L59" s="23" t="str">
        <f t="shared" ca="1" si="34"/>
        <v/>
      </c>
      <c r="M59" s="221" t="str">
        <f t="shared" ca="1" si="26"/>
        <v/>
      </c>
      <c r="O59" s="56"/>
      <c r="P59" s="203"/>
    </row>
    <row r="60" spans="2:17" ht="15" customHeight="1" x14ac:dyDescent="0.35">
      <c r="B60" s="107" t="s">
        <v>24</v>
      </c>
      <c r="C60" s="143"/>
      <c r="D60" s="150" t="str">
        <f t="shared" ca="1" si="32"/>
        <v/>
      </c>
      <c r="E60" s="124" t="str">
        <f t="shared" ca="1" si="32"/>
        <v/>
      </c>
      <c r="F60" s="124" t="str">
        <f t="shared" ca="1" si="34"/>
        <v/>
      </c>
      <c r="G60" s="122" t="str">
        <f t="shared" ca="1" si="34"/>
        <v/>
      </c>
      <c r="H60" s="124" t="str">
        <f t="shared" ca="1" si="34"/>
        <v/>
      </c>
      <c r="I60" s="124" t="str">
        <f t="shared" ca="1" si="34"/>
        <v/>
      </c>
      <c r="J60" s="124" t="str">
        <f t="shared" ca="1" si="34"/>
        <v/>
      </c>
      <c r="K60" s="124" t="str">
        <f t="shared" ca="1" si="34"/>
        <v/>
      </c>
      <c r="L60" s="23" t="str">
        <f t="shared" ca="1" si="34"/>
        <v/>
      </c>
      <c r="M60" s="221" t="str">
        <f t="shared" ca="1" si="26"/>
        <v/>
      </c>
      <c r="O60" s="56"/>
      <c r="P60" s="203"/>
    </row>
    <row r="61" spans="2:17" ht="15" customHeight="1" thickBot="1" x14ac:dyDescent="0.4">
      <c r="B61" s="169" t="s">
        <v>50</v>
      </c>
      <c r="C61" s="143"/>
      <c r="D61" s="205" t="str">
        <f t="shared" ref="D61:K61" ca="1" si="35">IFERROR(D$22/D42,"")</f>
        <v/>
      </c>
      <c r="E61" s="133" t="str">
        <f t="shared" ca="1" si="35"/>
        <v/>
      </c>
      <c r="F61" s="133" t="str">
        <f t="shared" ca="1" si="35"/>
        <v/>
      </c>
      <c r="G61" s="133" t="str">
        <f t="shared" ca="1" si="35"/>
        <v/>
      </c>
      <c r="H61" s="133" t="str">
        <f t="shared" ca="1" si="35"/>
        <v/>
      </c>
      <c r="I61" s="133" t="str">
        <f t="shared" ca="1" si="35"/>
        <v/>
      </c>
      <c r="J61" s="133" t="str">
        <f t="shared" ca="1" si="35"/>
        <v/>
      </c>
      <c r="K61" s="133" t="str">
        <f t="shared" ca="1" si="35"/>
        <v/>
      </c>
      <c r="L61" s="206" t="str">
        <f ca="1">IFERROR(L$22/L42,"")</f>
        <v/>
      </c>
      <c r="M61" s="221" t="str">
        <f t="shared" ca="1" si="26"/>
        <v/>
      </c>
      <c r="O61" s="204"/>
      <c r="P61" s="204"/>
      <c r="Q61" s="203"/>
    </row>
    <row r="62" spans="2:17" ht="15" customHeight="1" thickBot="1" x14ac:dyDescent="0.4">
      <c r="B62" s="222" t="s">
        <v>30</v>
      </c>
      <c r="C62" s="144"/>
      <c r="D62" s="202" t="str">
        <f t="shared" ref="D62:L62" ca="1" si="36">IFERROR(D$22/D42,"")</f>
        <v/>
      </c>
      <c r="E62" s="123" t="str">
        <f t="shared" ca="1" si="36"/>
        <v/>
      </c>
      <c r="F62" s="25" t="str">
        <f t="shared" ca="1" si="36"/>
        <v/>
      </c>
      <c r="G62" s="121" t="str">
        <f t="shared" ca="1" si="36"/>
        <v/>
      </c>
      <c r="H62" s="123" t="str">
        <f t="shared" ca="1" si="36"/>
        <v/>
      </c>
      <c r="I62" s="123" t="str">
        <f t="shared" ca="1" si="36"/>
        <v/>
      </c>
      <c r="J62" s="123" t="str">
        <f t="shared" ca="1" si="36"/>
        <v/>
      </c>
      <c r="K62" s="123" t="str">
        <f t="shared" ca="1" si="36"/>
        <v/>
      </c>
      <c r="L62" s="25" t="str">
        <f t="shared" ca="1" si="36"/>
        <v/>
      </c>
      <c r="M62" s="225" t="str">
        <f ca="1">IFERROR(M$23/P42,"")</f>
        <v/>
      </c>
      <c r="O62" s="56"/>
      <c r="P62" s="203"/>
    </row>
    <row r="63" spans="2:17" ht="15" customHeight="1" thickTop="1" thickBot="1" x14ac:dyDescent="0.4">
      <c r="B63" s="233" t="s">
        <v>45</v>
      </c>
      <c r="C63" s="186"/>
      <c r="D63" s="433" t="s">
        <v>45</v>
      </c>
      <c r="E63" s="433"/>
      <c r="F63" s="433"/>
      <c r="G63" s="433"/>
      <c r="H63" s="433"/>
      <c r="I63" s="433"/>
      <c r="J63" s="433"/>
      <c r="K63" s="433"/>
      <c r="L63" s="433"/>
      <c r="M63" s="434"/>
      <c r="O63" s="203"/>
      <c r="P63" s="203"/>
    </row>
    <row r="64" spans="2:17" ht="15" customHeight="1" x14ac:dyDescent="0.35">
      <c r="B64" s="226" t="s">
        <v>46</v>
      </c>
      <c r="C64" s="148"/>
      <c r="D64" s="152" t="str">
        <f t="shared" ref="D64:L64" ca="1" si="37">IFERROR(D22/D44,"")</f>
        <v/>
      </c>
      <c r="E64" s="152" t="str">
        <f t="shared" ca="1" si="37"/>
        <v/>
      </c>
      <c r="F64" s="152" t="str">
        <f t="shared" ca="1" si="37"/>
        <v/>
      </c>
      <c r="G64" s="152" t="str">
        <f t="shared" ca="1" si="37"/>
        <v/>
      </c>
      <c r="H64" s="152" t="str">
        <f t="shared" ca="1" si="37"/>
        <v/>
      </c>
      <c r="I64" s="152" t="str">
        <f t="shared" ca="1" si="37"/>
        <v/>
      </c>
      <c r="J64" s="152" t="str">
        <f t="shared" ca="1" si="37"/>
        <v/>
      </c>
      <c r="K64" s="152" t="str">
        <f t="shared" ca="1" si="37"/>
        <v/>
      </c>
      <c r="L64" s="152" t="str">
        <f t="shared" ca="1" si="37"/>
        <v/>
      </c>
      <c r="M64" s="227" t="str">
        <f ca="1">IFERROR(M23/P44,"")</f>
        <v/>
      </c>
      <c r="O64" s="203"/>
      <c r="P64" s="203"/>
    </row>
    <row r="65" spans="2:22" ht="15" customHeight="1" thickBot="1" x14ac:dyDescent="0.4">
      <c r="B65" s="228" t="s">
        <v>47</v>
      </c>
      <c r="C65" s="149">
        <f>C64</f>
        <v>0</v>
      </c>
      <c r="D65" s="153" t="str">
        <f ca="1">IFERROR(D23/SUM($D$44:D44),"")</f>
        <v/>
      </c>
      <c r="E65" s="153" t="str">
        <f ca="1">IFERROR(E23/SUM($D$44:E44),"")</f>
        <v/>
      </c>
      <c r="F65" s="153" t="str">
        <f ca="1">IFERROR(F23/SUM($D$44:F44),"")</f>
        <v/>
      </c>
      <c r="G65" s="153" t="str">
        <f ca="1">IFERROR(G23/SUM($D$44:G44),"")</f>
        <v/>
      </c>
      <c r="H65" s="153" t="str">
        <f ca="1">IFERROR(H23/SUM($D$44:H44),"")</f>
        <v/>
      </c>
      <c r="I65" s="153" t="str">
        <f ca="1">IFERROR(I23/SUM($D$44:I44),"")</f>
        <v/>
      </c>
      <c r="J65" s="153" t="str">
        <f ca="1">IFERROR(J23/SUM($D$44:J44),"")</f>
        <v/>
      </c>
      <c r="K65" s="153" t="str">
        <f ca="1">IFERROR(K23/SUM($D$44:K44),"")</f>
        <v/>
      </c>
      <c r="L65" s="153" t="str">
        <f ca="1">IFERROR(L23/SUM($D$44:L44),"")</f>
        <v/>
      </c>
      <c r="M65" s="229" t="str">
        <f ca="1">M64</f>
        <v/>
      </c>
    </row>
    <row r="66" spans="2:22" ht="14.5" x14ac:dyDescent="0.35"/>
    <row r="67" spans="2:22" ht="14.5" x14ac:dyDescent="0.35"/>
    <row r="68" spans="2:22" ht="14.5" x14ac:dyDescent="0.35">
      <c r="B68" s="58"/>
    </row>
    <row r="69" spans="2:22" ht="14.5" x14ac:dyDescent="0.35">
      <c r="B69" s="58"/>
    </row>
    <row r="70" spans="2:22" ht="14.5" x14ac:dyDescent="0.35">
      <c r="B70" s="387"/>
      <c r="C70" s="387"/>
      <c r="D70" s="387"/>
      <c r="E70" s="387"/>
      <c r="F70" s="387"/>
      <c r="G70" s="387"/>
      <c r="H70" s="387"/>
      <c r="I70" s="387"/>
      <c r="J70" s="387"/>
      <c r="K70" s="387"/>
      <c r="L70" s="387"/>
    </row>
    <row r="71" spans="2:22" ht="14.5" x14ac:dyDescent="0.35">
      <c r="B71" s="387"/>
      <c r="C71" s="387"/>
      <c r="D71" s="387"/>
      <c r="E71" s="387"/>
      <c r="F71" s="387"/>
      <c r="G71" s="387"/>
      <c r="H71" s="387"/>
      <c r="I71" s="387"/>
      <c r="J71" s="387"/>
      <c r="K71" s="387"/>
      <c r="L71" s="387"/>
    </row>
    <row r="72" spans="2:22" s="57" customFormat="1" ht="14.5" x14ac:dyDescent="0.35">
      <c r="B72" s="387"/>
      <c r="C72" s="387"/>
      <c r="D72" s="387"/>
      <c r="E72" s="387"/>
      <c r="F72" s="387"/>
      <c r="G72" s="387"/>
      <c r="H72" s="387"/>
      <c r="I72" s="387"/>
      <c r="J72" s="387"/>
      <c r="K72" s="387"/>
      <c r="L72" s="387"/>
      <c r="N72" s="191"/>
      <c r="O72" s="50"/>
      <c r="U72" s="69"/>
    </row>
    <row r="73" spans="2:22" s="57" customFormat="1" ht="14.5" x14ac:dyDescent="0.35">
      <c r="B73" s="387"/>
      <c r="C73" s="387"/>
      <c r="D73" s="387"/>
      <c r="E73" s="387"/>
      <c r="F73" s="387"/>
      <c r="G73" s="387"/>
      <c r="H73" s="387"/>
      <c r="I73" s="387"/>
      <c r="J73" s="387"/>
      <c r="K73" s="387"/>
      <c r="L73" s="387"/>
      <c r="N73" s="192"/>
      <c r="O73" s="50"/>
      <c r="V73" s="69"/>
    </row>
    <row r="74" spans="2:22" s="57" customFormat="1" ht="14.5" x14ac:dyDescent="0.35">
      <c r="N74" s="192"/>
      <c r="O74" s="50"/>
      <c r="V74" s="69"/>
    </row>
    <row r="75" spans="2:22" s="57" customFormat="1" ht="14.5" x14ac:dyDescent="0.35">
      <c r="N75" s="192"/>
      <c r="O75" s="50"/>
      <c r="V75" s="69"/>
    </row>
    <row r="76" spans="2:22" s="57" customFormat="1" ht="14.5" x14ac:dyDescent="0.35">
      <c r="N76" s="192"/>
      <c r="O76" s="50"/>
      <c r="V76" s="69"/>
    </row>
    <row r="77" spans="2:22" s="57" customFormat="1" ht="14.5" hidden="1" x14ac:dyDescent="0.35">
      <c r="N77" s="192"/>
      <c r="O77" s="50"/>
      <c r="V77" s="69"/>
    </row>
    <row r="78" spans="2:22" s="57" customFormat="1" ht="14.5" hidden="1" x14ac:dyDescent="0.35">
      <c r="N78" s="192"/>
      <c r="O78" s="50"/>
      <c r="V78" s="69"/>
    </row>
    <row r="79" spans="2:22" s="57" customFormat="1" ht="14.5" hidden="1" x14ac:dyDescent="0.35">
      <c r="N79" s="192"/>
      <c r="O79" s="50"/>
      <c r="V79" s="69"/>
    </row>
    <row r="80" spans="2:22" s="57" customFormat="1" ht="14.5" hidden="1" x14ac:dyDescent="0.35">
      <c r="N80" s="192"/>
      <c r="O80" s="50"/>
    </row>
    <row r="81" ht="14.5" hidden="1" x14ac:dyDescent="0.35"/>
    <row r="82" ht="14.5" hidden="1" x14ac:dyDescent="0.35"/>
    <row r="83" ht="14.5" hidden="1" x14ac:dyDescent="0.35"/>
    <row r="84" ht="14.5" hidden="1" x14ac:dyDescent="0.35"/>
    <row r="85" ht="14.5" hidden="1" x14ac:dyDescent="0.35"/>
    <row r="86" ht="14.5" hidden="1" x14ac:dyDescent="0.35"/>
    <row r="87" ht="14.5" hidden="1" x14ac:dyDescent="0.35"/>
    <row r="88" ht="14.5" hidden="1" x14ac:dyDescent="0.35"/>
    <row r="89" ht="14.5" hidden="1" x14ac:dyDescent="0.35"/>
    <row r="90" ht="14.5" hidden="1" x14ac:dyDescent="0.35"/>
    <row r="91" ht="14.5" hidden="1" x14ac:dyDescent="0.35"/>
    <row r="92" ht="14.5" hidden="1" x14ac:dyDescent="0.35"/>
    <row r="93" ht="14.5" hidden="1" x14ac:dyDescent="0.35"/>
    <row r="94" ht="14.5" hidden="1" x14ac:dyDescent="0.35"/>
    <row r="95" ht="14.5" hidden="1" x14ac:dyDescent="0.35"/>
    <row r="96" ht="14.5" hidden="1" x14ac:dyDescent="0.35"/>
    <row r="97" ht="14.5" hidden="1" x14ac:dyDescent="0.35"/>
    <row r="98" ht="14.5" hidden="1" x14ac:dyDescent="0.35"/>
    <row r="99" ht="14.5" hidden="1" x14ac:dyDescent="0.35"/>
    <row r="100" ht="14.5" hidden="1" x14ac:dyDescent="0.35"/>
    <row r="101" ht="14.5" hidden="1" x14ac:dyDescent="0.35"/>
    <row r="102" ht="14.5" hidden="1" x14ac:dyDescent="0.35"/>
    <row r="103" ht="14.5" hidden="1" x14ac:dyDescent="0.35"/>
    <row r="104" ht="14.5" hidden="1" x14ac:dyDescent="0.35"/>
    <row r="105" ht="14.5" hidden="1" x14ac:dyDescent="0.35"/>
    <row r="106" ht="14.5" hidden="1" x14ac:dyDescent="0.35"/>
    <row r="107" ht="14.5" hidden="1" x14ac:dyDescent="0.35"/>
    <row r="108" ht="14.5" hidden="1" x14ac:dyDescent="0.35"/>
    <row r="109" ht="14.5" hidden="1" x14ac:dyDescent="0.35"/>
    <row r="110" ht="14.5" hidden="1" x14ac:dyDescent="0.35"/>
    <row r="111" ht="14.5" hidden="1" x14ac:dyDescent="0.35"/>
  </sheetData>
  <dataConsolidate/>
  <mergeCells count="13">
    <mergeCell ref="O26:P26"/>
    <mergeCell ref="C14:M14"/>
    <mergeCell ref="B70:L73"/>
    <mergeCell ref="D63:M63"/>
    <mergeCell ref="D45:M45"/>
    <mergeCell ref="D26:M26"/>
    <mergeCell ref="D24:M24"/>
    <mergeCell ref="D21:M21"/>
    <mergeCell ref="B1:C1"/>
    <mergeCell ref="B5:M5"/>
    <mergeCell ref="B6:M6"/>
    <mergeCell ref="B7:M9"/>
    <mergeCell ref="C12:M12"/>
  </mergeCells>
  <conditionalFormatting sqref="D27">
    <cfRule type="expression" dxfId="332" priority="288">
      <formula>(AND(ISNUMBER($C27),(IF(D27="",0,D27)&gt;$C27)=TRUE))</formula>
    </cfRule>
  </conditionalFormatting>
  <conditionalFormatting sqref="L27">
    <cfRule type="expression" dxfId="331" priority="276">
      <formula>(AND(ISNUMBER($C27),(IF(L27="",0,L27)&gt;$C27)=TRUE))</formula>
    </cfRule>
  </conditionalFormatting>
  <conditionalFormatting sqref="D16">
    <cfRule type="cellIs" dxfId="330" priority="158" operator="lessThan">
      <formula>$D$15*0.95</formula>
    </cfRule>
  </conditionalFormatting>
  <conditionalFormatting sqref="E16">
    <cfRule type="cellIs" dxfId="329" priority="157" operator="lessThan">
      <formula>$D$15*0.95</formula>
    </cfRule>
  </conditionalFormatting>
  <conditionalFormatting sqref="F16">
    <cfRule type="cellIs" dxfId="328" priority="156" operator="lessThan">
      <formula>$D$15*0.95</formula>
    </cfRule>
  </conditionalFormatting>
  <conditionalFormatting sqref="G16">
    <cfRule type="cellIs" dxfId="327" priority="155" operator="lessThan">
      <formula>$D$15*0.95</formula>
    </cfRule>
  </conditionalFormatting>
  <conditionalFormatting sqref="H16">
    <cfRule type="cellIs" dxfId="326" priority="154" operator="lessThan">
      <formula>$D$15*0.95</formula>
    </cfRule>
  </conditionalFormatting>
  <conditionalFormatting sqref="I16">
    <cfRule type="cellIs" dxfId="325" priority="153" operator="lessThan">
      <formula>$D$15*0.95</formula>
    </cfRule>
  </conditionalFormatting>
  <conditionalFormatting sqref="J16">
    <cfRule type="cellIs" dxfId="324" priority="152" operator="lessThan">
      <formula>$D$15*0.95</formula>
    </cfRule>
  </conditionalFormatting>
  <conditionalFormatting sqref="K16">
    <cfRule type="cellIs" dxfId="323" priority="151" operator="lessThan">
      <formula>$D$15*0.95</formula>
    </cfRule>
  </conditionalFormatting>
  <conditionalFormatting sqref="L16">
    <cfRule type="cellIs" dxfId="322" priority="150" operator="lessThan">
      <formula>$D$15*0.95</formula>
    </cfRule>
  </conditionalFormatting>
  <conditionalFormatting sqref="D28">
    <cfRule type="expression" dxfId="321" priority="148">
      <formula>(AND(ISNUMBER($C28),(IF(D28="",0,D28)&gt;$C28)=TRUE))</formula>
    </cfRule>
  </conditionalFormatting>
  <conditionalFormatting sqref="D29">
    <cfRule type="expression" dxfId="320" priority="147">
      <formula>(AND(ISNUMBER($C29),(IF(D29="",0,D29)&gt;$C29)=TRUE))</formula>
    </cfRule>
  </conditionalFormatting>
  <conditionalFormatting sqref="D30">
    <cfRule type="expression" dxfId="319" priority="146">
      <formula>(AND(ISNUMBER($C30),(IF(D30="",0,D30)&gt;$C30)=TRUE))</formula>
    </cfRule>
  </conditionalFormatting>
  <conditionalFormatting sqref="D31">
    <cfRule type="expression" dxfId="318" priority="145">
      <formula>(AND(ISNUMBER($C31),(IF(D31="",0,D31)&gt;$C31)=TRUE))</formula>
    </cfRule>
  </conditionalFormatting>
  <conditionalFormatting sqref="D33">
    <cfRule type="expression" dxfId="317" priority="143">
      <formula>(AND(ISNUMBER($C33),(IF(D33="",0,D33)&gt;$C33)=TRUE))</formula>
    </cfRule>
  </conditionalFormatting>
  <conditionalFormatting sqref="D34">
    <cfRule type="expression" dxfId="316" priority="142">
      <formula>(AND(ISNUMBER($C34),(IF(D34="",0,D34)&gt;$C34)=TRUE))</formula>
    </cfRule>
  </conditionalFormatting>
  <conditionalFormatting sqref="D35">
    <cfRule type="expression" dxfId="315" priority="141">
      <formula>(AND(ISNUMBER($C35),(IF(D35="",0,D35)&gt;$C35)=TRUE))</formula>
    </cfRule>
  </conditionalFormatting>
  <conditionalFormatting sqref="D37">
    <cfRule type="expression" dxfId="314" priority="139">
      <formula>(AND(ISNUMBER($C37),(IF(D37="",0,D37)&gt;$C37)=TRUE))</formula>
    </cfRule>
  </conditionalFormatting>
  <conditionalFormatting sqref="D38">
    <cfRule type="expression" dxfId="313" priority="138">
      <formula>(AND(ISNUMBER($C38),(IF(D38="",0,D38)&gt;$C38)=TRUE))</formula>
    </cfRule>
  </conditionalFormatting>
  <conditionalFormatting sqref="D39">
    <cfRule type="expression" dxfId="312" priority="137">
      <formula>(AND(ISNUMBER($C39),(IF(D39="",0,D39)&gt;$C39)=TRUE))</formula>
    </cfRule>
  </conditionalFormatting>
  <conditionalFormatting sqref="D40">
    <cfRule type="expression" dxfId="311" priority="136">
      <formula>(AND(ISNUMBER($C40),(IF(D40="",0,D40)&gt;$C40)=TRUE))</formula>
    </cfRule>
  </conditionalFormatting>
  <conditionalFormatting sqref="D41">
    <cfRule type="expression" dxfId="310" priority="135">
      <formula>(AND(ISNUMBER($C41),(IF(D41="",0,D41)&gt;$C41)=TRUE))</formula>
    </cfRule>
  </conditionalFormatting>
  <conditionalFormatting sqref="D42">
    <cfRule type="expression" dxfId="309" priority="134">
      <formula>(AND(ISNUMBER($C42),(IF(D42="",0,D42)&gt;$C42)=TRUE))</formula>
    </cfRule>
  </conditionalFormatting>
  <conditionalFormatting sqref="E42">
    <cfRule type="expression" dxfId="308" priority="133">
      <formula>(AND(ISNUMBER($C42),(IF(E42="",0,E42)&gt;$C42)=TRUE))</formula>
    </cfRule>
  </conditionalFormatting>
  <conditionalFormatting sqref="E41">
    <cfRule type="expression" dxfId="307" priority="132">
      <formula>(AND(ISNUMBER($C41),(IF(E41="",0,E41)&gt;$C41)=TRUE))</formula>
    </cfRule>
  </conditionalFormatting>
  <conditionalFormatting sqref="E40">
    <cfRule type="expression" dxfId="306" priority="131">
      <formula>(AND(ISNUMBER($C40),(IF(E40="",0,E40)&gt;$C40)=TRUE))</formula>
    </cfRule>
  </conditionalFormatting>
  <conditionalFormatting sqref="E39">
    <cfRule type="expression" dxfId="305" priority="130">
      <formula>(AND(ISNUMBER($C39),(IF(E39="",0,E39)&gt;$C39)=TRUE))</formula>
    </cfRule>
  </conditionalFormatting>
  <conditionalFormatting sqref="E38">
    <cfRule type="expression" dxfId="304" priority="129">
      <formula>(AND(ISNUMBER($C38),(IF(E38="",0,E38)&gt;$C38)=TRUE))</formula>
    </cfRule>
  </conditionalFormatting>
  <conditionalFormatting sqref="E37">
    <cfRule type="expression" dxfId="303" priority="128">
      <formula>(AND(ISNUMBER($C37),(IF(E37="",0,E37)&gt;$C37)=TRUE))</formula>
    </cfRule>
  </conditionalFormatting>
  <conditionalFormatting sqref="E35">
    <cfRule type="expression" dxfId="302" priority="126">
      <formula>(AND(ISNUMBER($C35),(IF(E35="",0,E35)&gt;$C35)=TRUE))</formula>
    </cfRule>
  </conditionalFormatting>
  <conditionalFormatting sqref="E34">
    <cfRule type="expression" dxfId="301" priority="125">
      <formula>(AND(ISNUMBER($C34),(IF(E34="",0,E34)&gt;$C34)=TRUE))</formula>
    </cfRule>
  </conditionalFormatting>
  <conditionalFormatting sqref="E33">
    <cfRule type="expression" dxfId="300" priority="124">
      <formula>(AND(ISNUMBER($C33),(IF(E33="",0,E33)&gt;$C33)=TRUE))</formula>
    </cfRule>
  </conditionalFormatting>
  <conditionalFormatting sqref="E31">
    <cfRule type="expression" dxfId="299" priority="122">
      <formula>(AND(ISNUMBER($C31),(IF(E31="",0,E31)&gt;$C31)=TRUE))</formula>
    </cfRule>
  </conditionalFormatting>
  <conditionalFormatting sqref="E30">
    <cfRule type="expression" dxfId="298" priority="121">
      <formula>(AND(ISNUMBER($C30),(IF(E30="",0,E30)&gt;$C30)=TRUE))</formula>
    </cfRule>
  </conditionalFormatting>
  <conditionalFormatting sqref="E29">
    <cfRule type="expression" dxfId="297" priority="120">
      <formula>(AND(ISNUMBER($C29),(IF(E29="",0,E29)&gt;$C29)=TRUE))</formula>
    </cfRule>
  </conditionalFormatting>
  <conditionalFormatting sqref="E28">
    <cfRule type="expression" dxfId="296" priority="119">
      <formula>(AND(ISNUMBER($C28),(IF(E28="",0,E28)&gt;$C28)=TRUE))</formula>
    </cfRule>
  </conditionalFormatting>
  <conditionalFormatting sqref="F28">
    <cfRule type="expression" dxfId="295" priority="116">
      <formula>(AND(ISNUMBER($C28),(IF(F28="",0,F28)&gt;$C28)=TRUE))</formula>
    </cfRule>
  </conditionalFormatting>
  <conditionalFormatting sqref="F29">
    <cfRule type="expression" dxfId="294" priority="115">
      <formula>(AND(ISNUMBER($C29),(IF(F29="",0,F29)&gt;$C29)=TRUE))</formula>
    </cfRule>
  </conditionalFormatting>
  <conditionalFormatting sqref="F30">
    <cfRule type="expression" dxfId="293" priority="114">
      <formula>(AND(ISNUMBER($C30),(IF(F30="",0,F30)&gt;$C30)=TRUE))</formula>
    </cfRule>
  </conditionalFormatting>
  <conditionalFormatting sqref="F31">
    <cfRule type="expression" dxfId="292" priority="113">
      <formula>(AND(ISNUMBER($C31),(IF(F31="",0,F31)&gt;$C31)=TRUE))</formula>
    </cfRule>
  </conditionalFormatting>
  <conditionalFormatting sqref="F33">
    <cfRule type="expression" dxfId="291" priority="111">
      <formula>(AND(ISNUMBER($C33),(IF(F33="",0,F33)&gt;$C33)=TRUE))</formula>
    </cfRule>
  </conditionalFormatting>
  <conditionalFormatting sqref="F34">
    <cfRule type="expression" dxfId="290" priority="110">
      <formula>(AND(ISNUMBER($C34),(IF(F34="",0,F34)&gt;$C34)=TRUE))</formula>
    </cfRule>
  </conditionalFormatting>
  <conditionalFormatting sqref="F35">
    <cfRule type="expression" dxfId="289" priority="109">
      <formula>(AND(ISNUMBER($C35),(IF(F35="",0,F35)&gt;$C35)=TRUE))</formula>
    </cfRule>
  </conditionalFormatting>
  <conditionalFormatting sqref="F37">
    <cfRule type="expression" dxfId="288" priority="107">
      <formula>(AND(ISNUMBER($C37),(IF(F37="",0,F37)&gt;$C37)=TRUE))</formula>
    </cfRule>
  </conditionalFormatting>
  <conditionalFormatting sqref="F38">
    <cfRule type="expression" dxfId="287" priority="106">
      <formula>(AND(ISNUMBER($C38),(IF(F38="",0,F38)&gt;$C38)=TRUE))</formula>
    </cfRule>
  </conditionalFormatting>
  <conditionalFormatting sqref="F39">
    <cfRule type="expression" dxfId="286" priority="105">
      <formula>(AND(ISNUMBER($C39),(IF(F39="",0,F39)&gt;$C39)=TRUE))</formula>
    </cfRule>
  </conditionalFormatting>
  <conditionalFormatting sqref="F40">
    <cfRule type="expression" dxfId="285" priority="104">
      <formula>(AND(ISNUMBER($C40),(IF(F40="",0,F40)&gt;$C40)=TRUE))</formula>
    </cfRule>
  </conditionalFormatting>
  <conditionalFormatting sqref="F41">
    <cfRule type="expression" dxfId="284" priority="103">
      <formula>(AND(ISNUMBER($C41),(IF(F41="",0,F41)&gt;$C41)=TRUE))</formula>
    </cfRule>
  </conditionalFormatting>
  <conditionalFormatting sqref="F42">
    <cfRule type="expression" dxfId="283" priority="102">
      <formula>(AND(ISNUMBER($C42),(IF(F42="",0,F42)&gt;$C42)=TRUE))</formula>
    </cfRule>
  </conditionalFormatting>
  <conditionalFormatting sqref="G42">
    <cfRule type="expression" dxfId="282" priority="101">
      <formula>(AND(ISNUMBER($C42),(IF(G42="",0,G42)&gt;$C42)=TRUE))</formula>
    </cfRule>
  </conditionalFormatting>
  <conditionalFormatting sqref="G41">
    <cfRule type="expression" dxfId="281" priority="100">
      <formula>(AND(ISNUMBER($C41),(IF(G41="",0,G41)&gt;$C41)=TRUE))</formula>
    </cfRule>
  </conditionalFormatting>
  <conditionalFormatting sqref="G40">
    <cfRule type="expression" dxfId="280" priority="99">
      <formula>(AND(ISNUMBER($C40),(IF(G40="",0,G40)&gt;$C40)=TRUE))</formula>
    </cfRule>
  </conditionalFormatting>
  <conditionalFormatting sqref="G39">
    <cfRule type="expression" dxfId="279" priority="98">
      <formula>(AND(ISNUMBER($C39),(IF(G39="",0,G39)&gt;$C39)=TRUE))</formula>
    </cfRule>
  </conditionalFormatting>
  <conditionalFormatting sqref="G38">
    <cfRule type="expression" dxfId="278" priority="97">
      <formula>(AND(ISNUMBER($C38),(IF(G38="",0,G38)&gt;$C38)=TRUE))</formula>
    </cfRule>
  </conditionalFormatting>
  <conditionalFormatting sqref="G37">
    <cfRule type="expression" dxfId="277" priority="96">
      <formula>(AND(ISNUMBER($C37),(IF(G37="",0,G37)&gt;$C37)=TRUE))</formula>
    </cfRule>
  </conditionalFormatting>
  <conditionalFormatting sqref="G35">
    <cfRule type="expression" dxfId="276" priority="94">
      <formula>(AND(ISNUMBER($C35),(IF(G35="",0,G35)&gt;$C35)=TRUE))</formula>
    </cfRule>
  </conditionalFormatting>
  <conditionalFormatting sqref="G34">
    <cfRule type="expression" dxfId="275" priority="93">
      <formula>(AND(ISNUMBER($C34),(IF(G34="",0,G34)&gt;$C34)=TRUE))</formula>
    </cfRule>
  </conditionalFormatting>
  <conditionalFormatting sqref="G33">
    <cfRule type="expression" dxfId="274" priority="92">
      <formula>(AND(ISNUMBER($C33),(IF(G33="",0,G33)&gt;$C33)=TRUE))</formula>
    </cfRule>
  </conditionalFormatting>
  <conditionalFormatting sqref="G31">
    <cfRule type="expression" dxfId="273" priority="90">
      <formula>(AND(ISNUMBER($C31),(IF(G31="",0,G31)&gt;$C31)=TRUE))</formula>
    </cfRule>
  </conditionalFormatting>
  <conditionalFormatting sqref="G30">
    <cfRule type="expression" dxfId="272" priority="89">
      <formula>(AND(ISNUMBER($C30),(IF(G30="",0,G30)&gt;$C30)=TRUE))</formula>
    </cfRule>
  </conditionalFormatting>
  <conditionalFormatting sqref="G29">
    <cfRule type="expression" dxfId="271" priority="88">
      <formula>(AND(ISNUMBER($C29),(IF(G29="",0,G29)&gt;$C29)=TRUE))</formula>
    </cfRule>
  </conditionalFormatting>
  <conditionalFormatting sqref="G28">
    <cfRule type="expression" dxfId="270" priority="87">
      <formula>(AND(ISNUMBER($C28),(IF(G28="",0,G28)&gt;$C28)=TRUE))</formula>
    </cfRule>
  </conditionalFormatting>
  <conditionalFormatting sqref="H28">
    <cfRule type="expression" dxfId="269" priority="84">
      <formula>(AND(ISNUMBER($C28),(IF(H28="",0,H28)&gt;$C28)=TRUE))</formula>
    </cfRule>
  </conditionalFormatting>
  <conditionalFormatting sqref="H29">
    <cfRule type="expression" dxfId="268" priority="83">
      <formula>(AND(ISNUMBER($C29),(IF(H29="",0,H29)&gt;$C29)=TRUE))</formula>
    </cfRule>
  </conditionalFormatting>
  <conditionalFormatting sqref="H30">
    <cfRule type="expression" dxfId="267" priority="82">
      <formula>(AND(ISNUMBER($C30),(IF(H30="",0,H30)&gt;$C30)=TRUE))</formula>
    </cfRule>
  </conditionalFormatting>
  <conditionalFormatting sqref="H31">
    <cfRule type="expression" dxfId="266" priority="81">
      <formula>(AND(ISNUMBER($C31),(IF(H31="",0,H31)&gt;$C31)=TRUE))</formula>
    </cfRule>
  </conditionalFormatting>
  <conditionalFormatting sqref="H33">
    <cfRule type="expression" dxfId="265" priority="79">
      <formula>(AND(ISNUMBER($C33),(IF(H33="",0,H33)&gt;$C33)=TRUE))</formula>
    </cfRule>
  </conditionalFormatting>
  <conditionalFormatting sqref="H34">
    <cfRule type="expression" dxfId="264" priority="78">
      <formula>(AND(ISNUMBER($C34),(IF(H34="",0,H34)&gt;$C34)=TRUE))</formula>
    </cfRule>
  </conditionalFormatting>
  <conditionalFormatting sqref="H35">
    <cfRule type="expression" dxfId="263" priority="77">
      <formula>(AND(ISNUMBER($C35),(IF(H35="",0,H35)&gt;$C35)=TRUE))</formula>
    </cfRule>
  </conditionalFormatting>
  <conditionalFormatting sqref="H37">
    <cfRule type="expression" dxfId="262" priority="75">
      <formula>(AND(ISNUMBER($C37),(IF(H37="",0,H37)&gt;$C37)=TRUE))</formula>
    </cfRule>
  </conditionalFormatting>
  <conditionalFormatting sqref="H38">
    <cfRule type="expression" dxfId="261" priority="74">
      <formula>(AND(ISNUMBER($C38),(IF(H38="",0,H38)&gt;$C38)=TRUE))</formula>
    </cfRule>
  </conditionalFormatting>
  <conditionalFormatting sqref="H39">
    <cfRule type="expression" dxfId="260" priority="73">
      <formula>(AND(ISNUMBER($C39),(IF(H39="",0,H39)&gt;$C39)=TRUE))</formula>
    </cfRule>
  </conditionalFormatting>
  <conditionalFormatting sqref="H40">
    <cfRule type="expression" dxfId="259" priority="72">
      <formula>(AND(ISNUMBER($C40),(IF(H40="",0,H40)&gt;$C40)=TRUE))</formula>
    </cfRule>
  </conditionalFormatting>
  <conditionalFormatting sqref="H41">
    <cfRule type="expression" dxfId="258" priority="71">
      <formula>(AND(ISNUMBER($C41),(IF(H41="",0,H41)&gt;$C41)=TRUE))</formula>
    </cfRule>
  </conditionalFormatting>
  <conditionalFormatting sqref="H42">
    <cfRule type="expression" dxfId="257" priority="70">
      <formula>(AND(ISNUMBER($C42),(IF(H42="",0,H42)&gt;$C42)=TRUE))</formula>
    </cfRule>
  </conditionalFormatting>
  <conditionalFormatting sqref="I42">
    <cfRule type="expression" dxfId="256" priority="69">
      <formula>(AND(ISNUMBER($C42),(IF(I42="",0,I42)&gt;$C42)=TRUE))</formula>
    </cfRule>
  </conditionalFormatting>
  <conditionalFormatting sqref="I41">
    <cfRule type="expression" dxfId="255" priority="68">
      <formula>(AND(ISNUMBER($C41),(IF(I41="",0,I41)&gt;$C41)=TRUE))</formula>
    </cfRule>
  </conditionalFormatting>
  <conditionalFormatting sqref="I40">
    <cfRule type="expression" dxfId="254" priority="67">
      <formula>(AND(ISNUMBER($C40),(IF(I40="",0,I40)&gt;$C40)=TRUE))</formula>
    </cfRule>
  </conditionalFormatting>
  <conditionalFormatting sqref="I39">
    <cfRule type="expression" dxfId="253" priority="66">
      <formula>(AND(ISNUMBER($C39),(IF(I39="",0,I39)&gt;$C39)=TRUE))</formula>
    </cfRule>
  </conditionalFormatting>
  <conditionalFormatting sqref="I38">
    <cfRule type="expression" dxfId="252" priority="65">
      <formula>(AND(ISNUMBER($C38),(IF(I38="",0,I38)&gt;$C38)=TRUE))</formula>
    </cfRule>
  </conditionalFormatting>
  <conditionalFormatting sqref="I37">
    <cfRule type="expression" dxfId="251" priority="64">
      <formula>(AND(ISNUMBER($C37),(IF(I37="",0,I37)&gt;$C37)=TRUE))</formula>
    </cfRule>
  </conditionalFormatting>
  <conditionalFormatting sqref="I35">
    <cfRule type="expression" dxfId="250" priority="62">
      <formula>(AND(ISNUMBER($C35),(IF(I35="",0,I35)&gt;$C35)=TRUE))</formula>
    </cfRule>
  </conditionalFormatting>
  <conditionalFormatting sqref="I34">
    <cfRule type="expression" dxfId="249" priority="61">
      <formula>(AND(ISNUMBER($C34),(IF(I34="",0,I34)&gt;$C34)=TRUE))</formula>
    </cfRule>
  </conditionalFormatting>
  <conditionalFormatting sqref="I33">
    <cfRule type="expression" dxfId="248" priority="60">
      <formula>(AND(ISNUMBER($C33),(IF(I33="",0,I33)&gt;$C33)=TRUE))</formula>
    </cfRule>
  </conditionalFormatting>
  <conditionalFormatting sqref="I31">
    <cfRule type="expression" dxfId="247" priority="58">
      <formula>(AND(ISNUMBER($C31),(IF(I31="",0,I31)&gt;$C31)=TRUE))</formula>
    </cfRule>
  </conditionalFormatting>
  <conditionalFormatting sqref="I30">
    <cfRule type="expression" dxfId="246" priority="57">
      <formula>(AND(ISNUMBER($C30),(IF(I30="",0,I30)&gt;$C30)=TRUE))</formula>
    </cfRule>
  </conditionalFormatting>
  <conditionalFormatting sqref="I29">
    <cfRule type="expression" dxfId="245" priority="56">
      <formula>(AND(ISNUMBER($C29),(IF(I29="",0,I29)&gt;$C29)=TRUE))</formula>
    </cfRule>
  </conditionalFormatting>
  <conditionalFormatting sqref="I28">
    <cfRule type="expression" dxfId="244" priority="55">
      <formula>(AND(ISNUMBER($C28),(IF(I28="",0,I28)&gt;$C28)=TRUE))</formula>
    </cfRule>
  </conditionalFormatting>
  <conditionalFormatting sqref="E27">
    <cfRule type="expression" dxfId="243" priority="53">
      <formula>(AND(ISNUMBER($C27),(IF(E27="",0,E27)&gt;$C27)=TRUE))</formula>
    </cfRule>
  </conditionalFormatting>
  <conditionalFormatting sqref="F27">
    <cfRule type="expression" dxfId="242" priority="52">
      <formula>(AND(ISNUMBER($C27),(IF(F27="",0,F27)&gt;$C27)=TRUE))</formula>
    </cfRule>
  </conditionalFormatting>
  <conditionalFormatting sqref="G27">
    <cfRule type="expression" dxfId="241" priority="51">
      <formula>(AND(ISNUMBER($C27),(IF(G27="",0,G27)&gt;$C27)=TRUE))</formula>
    </cfRule>
  </conditionalFormatting>
  <conditionalFormatting sqref="H27">
    <cfRule type="expression" dxfId="240" priority="50">
      <formula>(AND(ISNUMBER($C27),(IF(H27="",0,H27)&gt;$C27)=TRUE))</formula>
    </cfRule>
  </conditionalFormatting>
  <conditionalFormatting sqref="I27">
    <cfRule type="expression" dxfId="239" priority="49">
      <formula>(AND(ISNUMBER($C27),(IF(I27="",0,I27)&gt;$C27)=TRUE))</formula>
    </cfRule>
  </conditionalFormatting>
  <conditionalFormatting sqref="K27">
    <cfRule type="expression" dxfId="238" priority="47">
      <formula>(AND(ISNUMBER($C27),(IF(K27="",0,K27)&gt;$C27)=TRUE))</formula>
    </cfRule>
  </conditionalFormatting>
  <conditionalFormatting sqref="J27">
    <cfRule type="expression" dxfId="237" priority="46">
      <formula>(AND(ISNUMBER($C27),(IF(J27="",0,J27)&gt;$C27)=TRUE))</formula>
    </cfRule>
  </conditionalFormatting>
  <conditionalFormatting sqref="J28">
    <cfRule type="expression" dxfId="236" priority="45">
      <formula>(AND(ISNUMBER($C28),(IF(J28="",0,J28)&gt;$C28)=TRUE))</formula>
    </cfRule>
  </conditionalFormatting>
  <conditionalFormatting sqref="J29">
    <cfRule type="expression" dxfId="235" priority="44">
      <formula>(AND(ISNUMBER($C29),(IF(J29="",0,J29)&gt;$C29)=TRUE))</formula>
    </cfRule>
  </conditionalFormatting>
  <conditionalFormatting sqref="J30">
    <cfRule type="expression" dxfId="234" priority="43">
      <formula>(AND(ISNUMBER($C30),(IF(J30="",0,J30)&gt;$C30)=TRUE))</formula>
    </cfRule>
  </conditionalFormatting>
  <conditionalFormatting sqref="J31">
    <cfRule type="expression" dxfId="233" priority="42">
      <formula>(AND(ISNUMBER($C31),(IF(J31="",0,J31)&gt;$C31)=TRUE))</formula>
    </cfRule>
  </conditionalFormatting>
  <conditionalFormatting sqref="J33">
    <cfRule type="expression" dxfId="232" priority="40">
      <formula>(AND(ISNUMBER($C33),(IF(J33="",0,J33)&gt;$C33)=TRUE))</formula>
    </cfRule>
  </conditionalFormatting>
  <conditionalFormatting sqref="J34">
    <cfRule type="expression" dxfId="231" priority="39">
      <formula>(AND(ISNUMBER($C34),(IF(J34="",0,J34)&gt;$C34)=TRUE))</formula>
    </cfRule>
  </conditionalFormatting>
  <conditionalFormatting sqref="J35">
    <cfRule type="expression" dxfId="230" priority="38">
      <formula>(AND(ISNUMBER($C35),(IF(J35="",0,J35)&gt;$C35)=TRUE))</formula>
    </cfRule>
  </conditionalFormatting>
  <conditionalFormatting sqref="J37">
    <cfRule type="expression" dxfId="229" priority="36">
      <formula>(AND(ISNUMBER($C37),(IF(J37="",0,J37)&gt;$C37)=TRUE))</formula>
    </cfRule>
  </conditionalFormatting>
  <conditionalFormatting sqref="J38">
    <cfRule type="expression" dxfId="228" priority="35">
      <formula>(AND(ISNUMBER($C38),(IF(J38="",0,J38)&gt;$C38)=TRUE))</formula>
    </cfRule>
  </conditionalFormatting>
  <conditionalFormatting sqref="J39">
    <cfRule type="expression" dxfId="227" priority="34">
      <formula>(AND(ISNUMBER($C39),(IF(J39="",0,J39)&gt;$C39)=TRUE))</formula>
    </cfRule>
  </conditionalFormatting>
  <conditionalFormatting sqref="J40">
    <cfRule type="expression" dxfId="226" priority="33">
      <formula>(AND(ISNUMBER($C40),(IF(J40="",0,J40)&gt;$C40)=TRUE))</formula>
    </cfRule>
  </conditionalFormatting>
  <conditionalFormatting sqref="J41">
    <cfRule type="expression" dxfId="225" priority="32">
      <formula>(AND(ISNUMBER($C41),(IF(J41="",0,J41)&gt;$C41)=TRUE))</formula>
    </cfRule>
  </conditionalFormatting>
  <conditionalFormatting sqref="J42">
    <cfRule type="expression" dxfId="224" priority="31">
      <formula>(AND(ISNUMBER($C42),(IF(J42="",0,J42)&gt;$C42)=TRUE))</formula>
    </cfRule>
  </conditionalFormatting>
  <conditionalFormatting sqref="K42">
    <cfRule type="expression" dxfId="223" priority="30">
      <formula>(AND(ISNUMBER($C42),(IF(K42="",0,K42)&gt;$C42)=TRUE))</formula>
    </cfRule>
  </conditionalFormatting>
  <conditionalFormatting sqref="K41">
    <cfRule type="expression" dxfId="222" priority="29">
      <formula>(AND(ISNUMBER($C41),(IF(K41="",0,K41)&gt;$C41)=TRUE))</formula>
    </cfRule>
  </conditionalFormatting>
  <conditionalFormatting sqref="K40">
    <cfRule type="expression" dxfId="221" priority="28">
      <formula>(AND(ISNUMBER($C40),(IF(K40="",0,K40)&gt;$C40)=TRUE))</formula>
    </cfRule>
  </conditionalFormatting>
  <conditionalFormatting sqref="K39">
    <cfRule type="expression" dxfId="220" priority="27">
      <formula>(AND(ISNUMBER($C39),(IF(K39="",0,K39)&gt;$C39)=TRUE))</formula>
    </cfRule>
  </conditionalFormatting>
  <conditionalFormatting sqref="K38">
    <cfRule type="expression" dxfId="219" priority="26">
      <formula>(AND(ISNUMBER($C38),(IF(K38="",0,K38)&gt;$C38)=TRUE))</formula>
    </cfRule>
  </conditionalFormatting>
  <conditionalFormatting sqref="K37">
    <cfRule type="expression" dxfId="218" priority="25">
      <formula>(AND(ISNUMBER($C37),(IF(K37="",0,K37)&gt;$C37)=TRUE))</formula>
    </cfRule>
  </conditionalFormatting>
  <conditionalFormatting sqref="K35">
    <cfRule type="expression" dxfId="217" priority="23">
      <formula>(AND(ISNUMBER($C35),(IF(K35="",0,K35)&gt;$C35)=TRUE))</formula>
    </cfRule>
  </conditionalFormatting>
  <conditionalFormatting sqref="K34">
    <cfRule type="expression" dxfId="216" priority="22">
      <formula>(AND(ISNUMBER($C34),(IF(K34="",0,K34)&gt;$C34)=TRUE))</formula>
    </cfRule>
  </conditionalFormatting>
  <conditionalFormatting sqref="K33">
    <cfRule type="expression" dxfId="215" priority="21">
      <formula>(AND(ISNUMBER($C33),(IF(K33="",0,K33)&gt;$C33)=TRUE))</formula>
    </cfRule>
  </conditionalFormatting>
  <conditionalFormatting sqref="K31">
    <cfRule type="expression" dxfId="214" priority="19">
      <formula>(AND(ISNUMBER($C31),(IF(K31="",0,K31)&gt;$C31)=TRUE))</formula>
    </cfRule>
  </conditionalFormatting>
  <conditionalFormatting sqref="K30">
    <cfRule type="expression" dxfId="213" priority="18">
      <formula>(AND(ISNUMBER($C30),(IF(K30="",0,K30)&gt;$C30)=TRUE))</formula>
    </cfRule>
  </conditionalFormatting>
  <conditionalFormatting sqref="K29">
    <cfRule type="expression" dxfId="212" priority="17">
      <formula>(AND(ISNUMBER($C29),(IF(K29="",0,K29)&gt;$C29)=TRUE))</formula>
    </cfRule>
  </conditionalFormatting>
  <conditionalFormatting sqref="K28">
    <cfRule type="expression" dxfId="211" priority="16">
      <formula>(AND(ISNUMBER($C28),(IF(K28="",0,K28)&gt;$C28)=TRUE))</formula>
    </cfRule>
  </conditionalFormatting>
  <conditionalFormatting sqref="L28">
    <cfRule type="expression" dxfId="210" priority="15">
      <formula>(AND(ISNUMBER($C28),(IF(L28="",0,L28)&gt;$C28)=TRUE))</formula>
    </cfRule>
  </conditionalFormatting>
  <conditionalFormatting sqref="L29">
    <cfRule type="expression" dxfId="209" priority="14">
      <formula>(AND(ISNUMBER($C29),(IF(L29="",0,L29)&gt;$C29)=TRUE))</formula>
    </cfRule>
  </conditionalFormatting>
  <conditionalFormatting sqref="L30">
    <cfRule type="expression" dxfId="208" priority="13">
      <formula>(AND(ISNUMBER($C30),(IF(L30="",0,L30)&gt;$C30)=TRUE))</formula>
    </cfRule>
  </conditionalFormatting>
  <conditionalFormatting sqref="L31">
    <cfRule type="expression" dxfId="207" priority="12">
      <formula>(AND(ISNUMBER($C31),(IF(L31="",0,L31)&gt;$C31)=TRUE))</formula>
    </cfRule>
  </conditionalFormatting>
  <conditionalFormatting sqref="L33">
    <cfRule type="expression" dxfId="206" priority="10">
      <formula>(AND(ISNUMBER($C33),(IF(L33="",0,L33)&gt;$C33)=TRUE))</formula>
    </cfRule>
  </conditionalFormatting>
  <conditionalFormatting sqref="L34">
    <cfRule type="expression" dxfId="205" priority="9">
      <formula>(AND(ISNUMBER($C34),(IF(L34="",0,L34)&gt;$C34)=TRUE))</formula>
    </cfRule>
  </conditionalFormatting>
  <conditionalFormatting sqref="L35">
    <cfRule type="expression" dxfId="204" priority="8">
      <formula>(AND(ISNUMBER($C35),(IF(L35="",0,L35)&gt;$C35)=TRUE))</formula>
    </cfRule>
  </conditionalFormatting>
  <conditionalFormatting sqref="L37">
    <cfRule type="expression" dxfId="203" priority="6">
      <formula>(AND(ISNUMBER($C37),(IF(L37="",0,L37)&gt;$C37)=TRUE))</formula>
    </cfRule>
  </conditionalFormatting>
  <conditionalFormatting sqref="L38">
    <cfRule type="expression" dxfId="202" priority="5">
      <formula>(AND(ISNUMBER($C38),(IF(L38="",0,L38)&gt;$C38)=TRUE))</formula>
    </cfRule>
  </conditionalFormatting>
  <conditionalFormatting sqref="L39">
    <cfRule type="expression" dxfId="201" priority="4">
      <formula>(AND(ISNUMBER($C39),(IF(L39="",0,L39)&gt;$C39)=TRUE))</formula>
    </cfRule>
  </conditionalFormatting>
  <conditionalFormatting sqref="L40">
    <cfRule type="expression" dxfId="200" priority="3">
      <formula>(AND(ISNUMBER($C40),(IF(L40="",0,L40)&gt;$C40)=TRUE))</formula>
    </cfRule>
  </conditionalFormatting>
  <conditionalFormatting sqref="L41">
    <cfRule type="expression" dxfId="199" priority="2">
      <formula>(AND(ISNUMBER($C41),(IF(L41="",0,L41)&gt;$C41)=TRUE))</formula>
    </cfRule>
  </conditionalFormatting>
  <conditionalFormatting sqref="L42">
    <cfRule type="expression" dxfId="198" priority="1">
      <formula>(AND(ISNUMBER($C42),(IF(L42="",0,L42)&gt;$C42)=TRUE))</formula>
    </cfRule>
  </conditionalFormatting>
  <dataValidations disablePrompts="1" count="1">
    <dataValidation type="list" allowBlank="1" showInputMessage="1" showErrorMessage="1" sqref="E2">
      <formula1>"Cycle1, MegaCycle, Sort0"</formula1>
    </dataValidation>
  </dataValidations>
  <pageMargins left="0.25" right="0.25" top="0.75" bottom="0.75" header="0.3" footer="0.3"/>
  <pageSetup scale="29" orientation="landscape" r:id="rId1"/>
  <ignoredErrors>
    <ignoredError sqref="L32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Stage">
    <tabColor theme="7" tint="0.59999389629810485"/>
    <pageSetUpPr fitToPage="1"/>
  </sheetPr>
  <dimension ref="A1:AE100"/>
  <sheetViews>
    <sheetView showGridLines="0" topLeftCell="A4" zoomScale="62" zoomScaleNormal="85" workbookViewId="0">
      <selection activeCell="D27" sqref="D27"/>
    </sheetView>
  </sheetViews>
  <sheetFormatPr defaultColWidth="0" defaultRowHeight="0" customHeight="1" zeroHeight="1" x14ac:dyDescent="0.35"/>
  <cols>
    <col min="1" max="1" width="9.1796875" style="50" customWidth="1"/>
    <col min="2" max="11" width="20.54296875" style="50" customWidth="1"/>
    <col min="12" max="12" width="9.1796875" style="95" hidden="1" customWidth="1"/>
    <col min="13" max="15" width="9.1796875" style="50" customWidth="1"/>
    <col min="16" max="16" width="11" style="50" hidden="1" customWidth="1"/>
    <col min="17" max="26" width="0" style="50" hidden="1" customWidth="1"/>
    <col min="27" max="27" width="11" style="50" hidden="1" customWidth="1"/>
    <col min="28" max="31" width="0" style="50" hidden="1" customWidth="1"/>
    <col min="32" max="16384" width="9.1796875" style="50" hidden="1"/>
  </cols>
  <sheetData>
    <row r="1" spans="1:15" ht="49" customHeight="1" x14ac:dyDescent="0.5">
      <c r="B1" s="417" t="s">
        <v>78</v>
      </c>
      <c r="C1" s="417"/>
    </row>
    <row r="2" spans="1:15" ht="19" customHeight="1" x14ac:dyDescent="0.35">
      <c r="B2" s="70"/>
      <c r="C2" s="71" t="s">
        <v>2</v>
      </c>
      <c r="D2" s="86"/>
      <c r="G2" s="51"/>
      <c r="H2" s="86"/>
    </row>
    <row r="3" spans="1:15" ht="19" customHeight="1" x14ac:dyDescent="0.35">
      <c r="B3" s="19" t="s">
        <v>33</v>
      </c>
      <c r="C3" s="75">
        <v>44090</v>
      </c>
      <c r="D3" s="86"/>
      <c r="G3" s="51"/>
      <c r="H3" s="86"/>
    </row>
    <row r="4" spans="1:15" ht="19" customHeight="1" thickBot="1" x14ac:dyDescent="0.4">
      <c r="B4" s="19" t="s">
        <v>34</v>
      </c>
      <c r="C4" s="75">
        <v>44090</v>
      </c>
      <c r="D4" s="86"/>
    </row>
    <row r="5" spans="1:15" s="1" customFormat="1" ht="25.5" customHeight="1" thickTop="1" thickBot="1" x14ac:dyDescent="0.4">
      <c r="A5" s="50"/>
      <c r="B5" s="379" t="str">
        <f>H3&amp;" Hourly Tracker - "&amp; TEXT(EndDate,"MM/DD/YY")&amp;" OFD"</f>
        <v xml:space="preserve"> Hourly Tracker - 09/16/20 OFD</v>
      </c>
      <c r="C5" s="380"/>
      <c r="D5" s="380"/>
      <c r="E5" s="380"/>
      <c r="F5" s="380"/>
      <c r="G5" s="380"/>
      <c r="H5" s="380"/>
      <c r="I5" s="380"/>
      <c r="J5" s="380"/>
      <c r="K5" s="418"/>
      <c r="L5" s="95"/>
      <c r="M5" s="50"/>
      <c r="N5" s="50"/>
      <c r="O5" s="50"/>
    </row>
    <row r="6" spans="1:15" s="1" customFormat="1" ht="14.5" x14ac:dyDescent="0.35">
      <c r="A6" s="50"/>
      <c r="B6" s="419" t="s">
        <v>21</v>
      </c>
      <c r="C6" s="398"/>
      <c r="D6" s="398"/>
      <c r="E6" s="398"/>
      <c r="F6" s="398"/>
      <c r="G6" s="398"/>
      <c r="H6" s="398"/>
      <c r="I6" s="398"/>
      <c r="J6" s="398"/>
      <c r="K6" s="420"/>
      <c r="L6" s="95"/>
      <c r="M6" s="50"/>
      <c r="N6" s="50"/>
      <c r="O6" s="50"/>
    </row>
    <row r="7" spans="1:15" s="1" customFormat="1" ht="14.5" x14ac:dyDescent="0.35">
      <c r="A7" s="50"/>
      <c r="B7" s="365"/>
      <c r="C7" s="366"/>
      <c r="D7" s="366"/>
      <c r="E7" s="366"/>
      <c r="F7" s="366"/>
      <c r="G7" s="366"/>
      <c r="H7" s="366"/>
      <c r="I7" s="366"/>
      <c r="J7" s="366"/>
      <c r="K7" s="436"/>
      <c r="L7" s="95"/>
      <c r="M7" s="50"/>
      <c r="N7" s="50"/>
      <c r="O7" s="50"/>
    </row>
    <row r="8" spans="1:15" s="1" customFormat="1" ht="14.5" x14ac:dyDescent="0.35">
      <c r="A8" s="50"/>
      <c r="B8" s="367"/>
      <c r="C8" s="368"/>
      <c r="D8" s="368"/>
      <c r="E8" s="368"/>
      <c r="F8" s="368"/>
      <c r="G8" s="368"/>
      <c r="H8" s="368"/>
      <c r="I8" s="368"/>
      <c r="J8" s="368"/>
      <c r="K8" s="437"/>
      <c r="L8" s="95"/>
      <c r="M8" s="50"/>
      <c r="N8" s="50"/>
      <c r="O8" s="50"/>
    </row>
    <row r="9" spans="1:15" s="1" customFormat="1" ht="14.5" x14ac:dyDescent="0.35">
      <c r="A9" s="50"/>
      <c r="B9" s="369"/>
      <c r="C9" s="370"/>
      <c r="D9" s="370"/>
      <c r="E9" s="370"/>
      <c r="F9" s="370"/>
      <c r="G9" s="370"/>
      <c r="H9" s="370"/>
      <c r="I9" s="370"/>
      <c r="J9" s="370"/>
      <c r="K9" s="438"/>
      <c r="L9" s="95"/>
      <c r="M9" s="50"/>
      <c r="N9" s="50"/>
      <c r="O9" s="50"/>
    </row>
    <row r="10" spans="1:15" s="1" customFormat="1" ht="37.5" customHeight="1" x14ac:dyDescent="0.35">
      <c r="A10" s="50"/>
      <c r="B10" s="91"/>
      <c r="C10" s="43"/>
      <c r="D10" s="44"/>
      <c r="E10" s="44"/>
      <c r="F10" s="44"/>
      <c r="G10" s="44"/>
      <c r="H10" s="44"/>
      <c r="I10" s="44"/>
      <c r="J10" s="44"/>
      <c r="K10" s="92"/>
      <c r="L10" s="95"/>
      <c r="M10" s="50"/>
      <c r="N10" s="50"/>
      <c r="O10" s="50"/>
    </row>
    <row r="11" spans="1:15" s="1" customFormat="1" ht="15" customHeight="1" thickBot="1" x14ac:dyDescent="0.4">
      <c r="A11" s="50"/>
      <c r="B11" s="87"/>
      <c r="C11" s="4" t="s">
        <v>35</v>
      </c>
      <c r="D11" s="5">
        <v>0.16666666666666666</v>
      </c>
      <c r="E11" s="5">
        <f t="shared" ref="E11:J11" si="0">D11+1/24</f>
        <v>0.20833333333333331</v>
      </c>
      <c r="F11" s="5">
        <f t="shared" si="0"/>
        <v>0.24999999999999997</v>
      </c>
      <c r="G11" s="5">
        <f t="shared" si="0"/>
        <v>0.29166666666666663</v>
      </c>
      <c r="H11" s="5">
        <f t="shared" si="0"/>
        <v>0.33333333333333331</v>
      </c>
      <c r="I11" s="5">
        <f t="shared" si="0"/>
        <v>0.375</v>
      </c>
      <c r="J11" s="5">
        <f t="shared" si="0"/>
        <v>0.41666666666666669</v>
      </c>
      <c r="K11" s="88" t="s">
        <v>4</v>
      </c>
      <c r="L11" s="95"/>
      <c r="M11" s="50"/>
      <c r="N11" s="50"/>
      <c r="O11" s="50"/>
    </row>
    <row r="12" spans="1:15" s="1" customFormat="1" ht="15" customHeight="1" thickBot="1" x14ac:dyDescent="0.4">
      <c r="A12" s="50"/>
      <c r="B12" s="234" t="s">
        <v>36</v>
      </c>
      <c r="C12" s="407" t="s">
        <v>36</v>
      </c>
      <c r="D12" s="407"/>
      <c r="E12" s="407"/>
      <c r="F12" s="407"/>
      <c r="G12" s="407"/>
      <c r="H12" s="407"/>
      <c r="I12" s="407"/>
      <c r="J12" s="407"/>
      <c r="K12" s="430"/>
      <c r="L12" s="95"/>
      <c r="M12" s="50"/>
      <c r="N12" s="50"/>
      <c r="O12" s="50"/>
    </row>
    <row r="13" spans="1:15" s="1" customFormat="1" ht="15" customHeight="1" thickBot="1" x14ac:dyDescent="0.4">
      <c r="A13" s="50"/>
      <c r="B13" s="12" t="s">
        <v>37</v>
      </c>
      <c r="C13" s="244"/>
      <c r="D13" s="177">
        <v>1</v>
      </c>
      <c r="E13" s="177">
        <v>1</v>
      </c>
      <c r="F13" s="177">
        <v>1</v>
      </c>
      <c r="G13" s="177">
        <v>1</v>
      </c>
      <c r="H13" s="177">
        <v>1</v>
      </c>
      <c r="I13" s="177">
        <v>1</v>
      </c>
      <c r="J13" s="177">
        <v>1</v>
      </c>
      <c r="K13" s="178">
        <f>SUM(D13:J13)</f>
        <v>7</v>
      </c>
      <c r="L13" s="95"/>
      <c r="M13" s="95"/>
      <c r="N13" s="50"/>
      <c r="O13" s="50"/>
    </row>
    <row r="14" spans="1:15" s="1" customFormat="1" ht="15" customHeight="1" thickBot="1" x14ac:dyDescent="0.4">
      <c r="A14" s="50"/>
      <c r="B14" s="234" t="s">
        <v>7</v>
      </c>
      <c r="C14" s="407" t="s">
        <v>7</v>
      </c>
      <c r="D14" s="407"/>
      <c r="E14" s="407"/>
      <c r="F14" s="407"/>
      <c r="G14" s="407"/>
      <c r="H14" s="407"/>
      <c r="I14" s="407"/>
      <c r="J14" s="407"/>
      <c r="K14" s="430"/>
      <c r="L14" s="95"/>
      <c r="M14" s="95"/>
      <c r="N14" s="50"/>
      <c r="O14" s="50"/>
    </row>
    <row r="15" spans="1:15" s="1" customFormat="1" ht="15" customHeight="1" x14ac:dyDescent="0.35">
      <c r="A15" s="59"/>
      <c r="B15" s="9" t="s">
        <v>38</v>
      </c>
      <c r="C15" s="242">
        <f>IFERROR(A15/Pick_and_Stage_Execution_TOTALHOURS,"")</f>
        <v>0</v>
      </c>
      <c r="D15" s="122">
        <f t="shared" ref="D15:J15" si="1">((D$13/$K$13) * $A$15)</f>
        <v>0</v>
      </c>
      <c r="E15" s="124">
        <f t="shared" si="1"/>
        <v>0</v>
      </c>
      <c r="F15" s="124">
        <f t="shared" si="1"/>
        <v>0</v>
      </c>
      <c r="G15" s="124">
        <f t="shared" si="1"/>
        <v>0</v>
      </c>
      <c r="H15" s="124">
        <f t="shared" si="1"/>
        <v>0</v>
      </c>
      <c r="I15" s="126">
        <f t="shared" si="1"/>
        <v>0</v>
      </c>
      <c r="J15" s="126">
        <f t="shared" si="1"/>
        <v>0</v>
      </c>
      <c r="K15" s="221">
        <f>SUM(D15:J15)</f>
        <v>0</v>
      </c>
      <c r="L15" s="95"/>
      <c r="M15" s="95"/>
      <c r="N15" s="50"/>
      <c r="O15" s="50"/>
    </row>
    <row r="16" spans="1:15" s="1" customFormat="1" ht="15" customHeight="1" x14ac:dyDescent="0.35">
      <c r="A16" s="50"/>
      <c r="B16" s="9" t="s">
        <v>39</v>
      </c>
      <c r="C16" s="242"/>
      <c r="D16" s="124" t="str">
        <f t="shared" ref="D16:E16" ca="1" si="2">IFERROR(IF(SUMIF(INDIRECT("PPA."&amp;HOUR(D$11)&amp;"!$C:$C"),"Pick &amp; Stage",INDIRECT("PPA."&amp;HOUR(D$11)&amp;"!$G:$G"))=0,"",SUMIF(INDIRECT("PPA."&amp;HOUR(D$11)&amp;"!$C:$C"),"Pick &amp; Stage",INDIRECT("PPA."&amp;HOUR(D$11)&amp;"!$G:$G"))),"")</f>
        <v/>
      </c>
      <c r="E16" s="124" t="str">
        <f t="shared" ca="1" si="2"/>
        <v/>
      </c>
      <c r="F16" s="124">
        <f ca="1">IFERROR(IF(SUMIF(INDIRECT("PPA."&amp;HOUR(F$11)&amp;"!$C:$C"),"Pick &amp; Stage",INDIRECT("PPA."&amp;HOUR(F$11)&amp;"!$G:$G"))=0,"",SUMIF(INDIRECT("PPA."&amp;HOUR(F$11)&amp;"!$C:$C"),"Pick &amp; Stage",INDIRECT("PPA."&amp;HOUR(F$11)&amp;"!$G:$G"))),"")</f>
        <v>42462</v>
      </c>
      <c r="G16" s="124" t="str">
        <f t="shared" ref="G16:J16" ca="1" si="3">IFERROR(IF(SUMIF(INDIRECT("PPA."&amp;HOUR(G$11)&amp;"!$C:$C"),"Pick &amp; Stage",INDIRECT("PPA."&amp;HOUR(G$11)&amp;"!$G:$G"))=0,"",SUMIF(INDIRECT("PPA."&amp;HOUR(G$11)&amp;"!$C:$C"),"Pick &amp; Stage",INDIRECT("PPA."&amp;HOUR(G$11)&amp;"!$G:$G"))),"")</f>
        <v/>
      </c>
      <c r="H16" s="124" t="str">
        <f t="shared" ca="1" si="3"/>
        <v/>
      </c>
      <c r="I16" s="124" t="str">
        <f t="shared" ca="1" si="3"/>
        <v/>
      </c>
      <c r="J16" s="124" t="str">
        <f t="shared" ca="1" si="3"/>
        <v/>
      </c>
      <c r="K16" s="221">
        <f t="shared" ref="K16:K20" ca="1" si="4">SUM(D16:J16)</f>
        <v>42462</v>
      </c>
      <c r="L16" s="95">
        <v>100020</v>
      </c>
      <c r="M16" s="95"/>
      <c r="N16" s="50"/>
      <c r="O16" s="50"/>
    </row>
    <row r="17" spans="1:17" s="1" customFormat="1" ht="15" customHeight="1" x14ac:dyDescent="0.35">
      <c r="A17" s="50"/>
      <c r="B17" s="9" t="s">
        <v>3</v>
      </c>
      <c r="C17" s="243"/>
      <c r="D17" s="181" t="str">
        <f t="shared" ref="D17:I17" ca="1" si="5">IFERROR(IF(D16="","",D16-D15),"")</f>
        <v/>
      </c>
      <c r="E17" s="180" t="str">
        <f t="shared" ca="1" si="5"/>
        <v/>
      </c>
      <c r="F17" s="230">
        <f t="shared" ca="1" si="5"/>
        <v>42462</v>
      </c>
      <c r="G17" s="180" t="str">
        <f t="shared" ca="1" si="5"/>
        <v/>
      </c>
      <c r="H17" s="230" t="str">
        <f t="shared" ca="1" si="5"/>
        <v/>
      </c>
      <c r="I17" s="180" t="str">
        <f t="shared" ca="1" si="5"/>
        <v/>
      </c>
      <c r="J17" s="277" t="str">
        <f t="shared" ref="J17" ca="1" si="6">IFERROR(IF(J16="","",J16-J15),"")</f>
        <v/>
      </c>
      <c r="K17" s="251">
        <f t="shared" ca="1" si="4"/>
        <v>42462</v>
      </c>
      <c r="L17" s="95"/>
      <c r="M17" s="95"/>
      <c r="N17" s="50"/>
      <c r="O17" s="50"/>
    </row>
    <row r="18" spans="1:17" s="1" customFormat="1" ht="15" customHeight="1" x14ac:dyDescent="0.35">
      <c r="A18" s="50"/>
      <c r="B18" s="9" t="s">
        <v>40</v>
      </c>
      <c r="C18" s="242">
        <f ca="1">SUM(D16:I16)</f>
        <v>42462</v>
      </c>
      <c r="D18" s="122">
        <f>D15</f>
        <v>0</v>
      </c>
      <c r="E18" s="23">
        <f t="shared" ref="E18:J18" si="7">D18+E15</f>
        <v>0</v>
      </c>
      <c r="F18" s="124">
        <f t="shared" si="7"/>
        <v>0</v>
      </c>
      <c r="G18" s="23">
        <f t="shared" si="7"/>
        <v>0</v>
      </c>
      <c r="H18" s="124">
        <f t="shared" si="7"/>
        <v>0</v>
      </c>
      <c r="I18" s="195">
        <f t="shared" si="7"/>
        <v>0</v>
      </c>
      <c r="J18" s="23">
        <f t="shared" si="7"/>
        <v>0</v>
      </c>
      <c r="K18" s="221">
        <f t="shared" si="4"/>
        <v>0</v>
      </c>
      <c r="L18" s="95"/>
      <c r="M18" s="95"/>
      <c r="N18" s="50"/>
      <c r="O18" s="50"/>
    </row>
    <row r="19" spans="1:17" s="1" customFormat="1" ht="15" customHeight="1" x14ac:dyDescent="0.35">
      <c r="A19" s="50"/>
      <c r="B19" s="9" t="s">
        <v>41</v>
      </c>
      <c r="C19" s="242"/>
      <c r="D19" s="122" t="str">
        <f ca="1">IF(D16="","",SUM($D$16:D16))</f>
        <v/>
      </c>
      <c r="E19" s="23" t="str">
        <f ca="1">IF(E16="","",SUM($D$16:E16))</f>
        <v/>
      </c>
      <c r="F19" s="124">
        <f ca="1">IF(F16="","",SUM($D$16:F16))</f>
        <v>42462</v>
      </c>
      <c r="G19" s="23" t="str">
        <f ca="1">IF(G16="","",SUM($D$16:G16))</f>
        <v/>
      </c>
      <c r="H19" s="124" t="str">
        <f ca="1">IF(H16="","",SUM($D$16:H16))</f>
        <v/>
      </c>
      <c r="I19" s="196" t="str">
        <f ca="1">IF(I16="","",SUM($D$16:I16))</f>
        <v/>
      </c>
      <c r="J19" s="23" t="str">
        <f ca="1">IF(J16="","",SUM($D$16:J16))</f>
        <v/>
      </c>
      <c r="K19" s="221">
        <f t="shared" ca="1" si="4"/>
        <v>42462</v>
      </c>
      <c r="L19" s="95"/>
      <c r="M19" s="95"/>
      <c r="N19" s="50"/>
      <c r="O19" s="50"/>
    </row>
    <row r="20" spans="1:17" s="1" customFormat="1" ht="15" customHeight="1" thickBot="1" x14ac:dyDescent="0.4">
      <c r="A20" s="50"/>
      <c r="B20" s="9" t="s">
        <v>3</v>
      </c>
      <c r="C20" s="243"/>
      <c r="D20" s="181" t="str">
        <f t="shared" ref="D20:I20" ca="1" si="8">IFERROR(IF(D19="","",D19-D18),"")</f>
        <v/>
      </c>
      <c r="E20" s="180" t="str">
        <f t="shared" ca="1" si="8"/>
        <v/>
      </c>
      <c r="F20" s="230">
        <f t="shared" ca="1" si="8"/>
        <v>42462</v>
      </c>
      <c r="G20" s="180" t="str">
        <f t="shared" ca="1" si="8"/>
        <v/>
      </c>
      <c r="H20" s="230" t="str">
        <f t="shared" ca="1" si="8"/>
        <v/>
      </c>
      <c r="I20" s="180" t="str">
        <f t="shared" ca="1" si="8"/>
        <v/>
      </c>
      <c r="J20" s="277" t="str">
        <f t="shared" ref="J20" ca="1" si="9">IFERROR(IF(J19="","",J19-J18),"")</f>
        <v/>
      </c>
      <c r="K20" s="251">
        <f t="shared" ca="1" si="4"/>
        <v>42462</v>
      </c>
      <c r="L20" s="95"/>
      <c r="M20" s="95"/>
      <c r="N20" s="50"/>
      <c r="O20" s="50"/>
    </row>
    <row r="21" spans="1:17" s="1" customFormat="1" ht="15" customHeight="1" thickBot="1" x14ac:dyDescent="0.4">
      <c r="A21" s="50"/>
      <c r="B21" s="233" t="s">
        <v>17</v>
      </c>
      <c r="C21" s="439" t="s">
        <v>17</v>
      </c>
      <c r="D21" s="439"/>
      <c r="E21" s="439"/>
      <c r="F21" s="439"/>
      <c r="G21" s="439"/>
      <c r="H21" s="439"/>
      <c r="I21" s="439"/>
      <c r="J21" s="439"/>
      <c r="K21" s="440"/>
      <c r="L21" s="95"/>
      <c r="M21" s="95"/>
      <c r="N21" s="50"/>
      <c r="O21" s="50"/>
    </row>
    <row r="22" spans="1:17" s="1" customFormat="1" ht="15" customHeight="1" x14ac:dyDescent="0.35">
      <c r="A22" s="50"/>
      <c r="B22" s="9" t="s">
        <v>42</v>
      </c>
      <c r="C22" s="242"/>
      <c r="D22" s="122" t="str">
        <f t="shared" ref="D22:J22" ca="1" si="10">IFERROR(IF(SUMIF(INDIRECT("PPA."&amp;HOUR(D$11)&amp;"!$D:$D"),$L22,INDIRECT("PPA."&amp;HOUR(D$11)&amp;"!$F:$F"))=0,"",SUMIF(INDIRECT("PPA."&amp;HOUR(D$11)&amp;"!$D:$D"),$L22,INDIRECT("PPA."&amp;HOUR(D$11)&amp;"!$F:$F"))),"")</f>
        <v/>
      </c>
      <c r="E22" s="23" t="str">
        <f t="shared" ca="1" si="10"/>
        <v/>
      </c>
      <c r="F22" s="124">
        <f t="shared" ca="1" si="10"/>
        <v>19414</v>
      </c>
      <c r="G22" s="23" t="str">
        <f t="shared" ca="1" si="10"/>
        <v/>
      </c>
      <c r="H22" s="124" t="str">
        <f t="shared" ca="1" si="10"/>
        <v/>
      </c>
      <c r="I22" s="23" t="str">
        <f t="shared" ca="1" si="10"/>
        <v/>
      </c>
      <c r="J22" s="278" t="str">
        <f t="shared" ca="1" si="10"/>
        <v/>
      </c>
      <c r="K22" s="221">
        <f ca="1">SUM(D22:J22)</f>
        <v>19414</v>
      </c>
      <c r="L22" s="95">
        <v>100440</v>
      </c>
      <c r="M22" s="95"/>
      <c r="N22" s="50"/>
      <c r="O22" s="50"/>
      <c r="P22" s="2"/>
      <c r="Q22" s="2"/>
    </row>
    <row r="23" spans="1:17" s="1" customFormat="1" ht="15" customHeight="1" thickBot="1" x14ac:dyDescent="0.4">
      <c r="A23" s="50"/>
      <c r="B23" s="9" t="s">
        <v>41</v>
      </c>
      <c r="C23" s="242"/>
      <c r="D23" s="122" t="str">
        <f ca="1">IF(OR(D22=0,D22=""),"",SUM($D22:D$22))</f>
        <v/>
      </c>
      <c r="E23" s="23" t="str">
        <f ca="1">IF(OR(E22=0,E22=""),"",SUM($D22:E$22))</f>
        <v/>
      </c>
      <c r="F23" s="124">
        <f ca="1">IF(OR(F22=0,F22=""),"",SUM($D22:F$22))</f>
        <v>19414</v>
      </c>
      <c r="G23" s="23" t="str">
        <f ca="1">IF(OR(G22=0,G22=""),"",SUM($D22:G$22))</f>
        <v/>
      </c>
      <c r="H23" s="124" t="str">
        <f ca="1">IF(OR(H22=0,H22=""),"",SUM($D22:H$22))</f>
        <v/>
      </c>
      <c r="I23" s="23" t="str">
        <f ca="1">IF(OR(I22=0,I22=""),"",SUM($D22:I$22))</f>
        <v/>
      </c>
      <c r="J23" s="279" t="str">
        <f ca="1">IF(OR(J22=0,J22=""),"",SUM($D22:J$22))</f>
        <v/>
      </c>
      <c r="K23" s="221">
        <f ca="1">SUM(D23:J23)</f>
        <v>19414</v>
      </c>
      <c r="L23" s="95"/>
      <c r="M23" s="95"/>
      <c r="N23" s="50"/>
      <c r="O23" s="50"/>
      <c r="P23" s="2"/>
      <c r="Q23" s="2"/>
    </row>
    <row r="24" spans="1:17" s="1" customFormat="1" ht="15" customHeight="1" thickBot="1" x14ac:dyDescent="0.4">
      <c r="A24" s="50"/>
      <c r="B24" s="233" t="s">
        <v>43</v>
      </c>
      <c r="C24" s="439" t="s">
        <v>43</v>
      </c>
      <c r="D24" s="439"/>
      <c r="E24" s="439"/>
      <c r="F24" s="439"/>
      <c r="G24" s="439"/>
      <c r="H24" s="439"/>
      <c r="I24" s="439"/>
      <c r="J24" s="439"/>
      <c r="K24" s="442"/>
      <c r="L24" s="95"/>
      <c r="M24" s="95"/>
      <c r="N24" s="50"/>
      <c r="O24" s="50"/>
      <c r="P24" s="2"/>
      <c r="Q24" s="2"/>
    </row>
    <row r="25" spans="1:17" s="1" customFormat="1" ht="15" customHeight="1" thickBot="1" x14ac:dyDescent="0.4">
      <c r="A25" s="50"/>
      <c r="B25" s="9" t="s">
        <v>43</v>
      </c>
      <c r="C25" s="242"/>
      <c r="D25" s="122" t="str">
        <f t="shared" ref="D25:J25" ca="1" si="11">IFERROR(D19-D23,"")</f>
        <v/>
      </c>
      <c r="E25" s="23" t="str">
        <f t="shared" ca="1" si="11"/>
        <v/>
      </c>
      <c r="F25" s="124">
        <f t="shared" ca="1" si="11"/>
        <v>23048</v>
      </c>
      <c r="G25" s="23" t="str">
        <f t="shared" ca="1" si="11"/>
        <v/>
      </c>
      <c r="H25" s="124" t="str">
        <f t="shared" ca="1" si="11"/>
        <v/>
      </c>
      <c r="I25" s="23" t="str">
        <f t="shared" ca="1" si="11"/>
        <v/>
      </c>
      <c r="J25" s="23" t="str">
        <f t="shared" ca="1" si="11"/>
        <v/>
      </c>
      <c r="K25" s="221">
        <f t="shared" ref="K25" ca="1" si="12">SUM(D25:I25)</f>
        <v>23048</v>
      </c>
      <c r="L25" s="95"/>
      <c r="M25" s="95"/>
      <c r="N25" s="50"/>
      <c r="O25" s="50"/>
      <c r="P25" s="2"/>
      <c r="Q25" s="2"/>
    </row>
    <row r="26" spans="1:17" s="1" customFormat="1" ht="15" customHeight="1" thickBot="1" x14ac:dyDescent="0.4">
      <c r="A26" s="50"/>
      <c r="B26" s="233" t="s">
        <v>5</v>
      </c>
      <c r="C26" s="439" t="s">
        <v>5</v>
      </c>
      <c r="D26" s="439"/>
      <c r="E26" s="439"/>
      <c r="F26" s="439"/>
      <c r="G26" s="439"/>
      <c r="H26" s="439"/>
      <c r="I26" s="439"/>
      <c r="J26" s="439"/>
      <c r="K26" s="442"/>
      <c r="L26" s="95"/>
      <c r="M26" s="95"/>
      <c r="N26" s="50"/>
      <c r="O26" s="50"/>
      <c r="P26" s="2"/>
      <c r="Q26" s="2"/>
    </row>
    <row r="27" spans="1:17" s="1" customFormat="1" ht="15" customHeight="1" x14ac:dyDescent="0.35">
      <c r="A27" s="50"/>
      <c r="B27" s="62" t="s">
        <v>16</v>
      </c>
      <c r="C27" s="242"/>
      <c r="D27" s="239" t="str">
        <f t="shared" ref="D27:J31" ca="1" si="13">IFERROR(IF(SUMIF(INDIRECT("PPA."&amp;HOUR(D$11)&amp;"!$D:$D"),$L27,INDIRECT("PPA."&amp;HOUR(D$11)&amp;"!$H:$H"))=0,"",SUMIF(INDIRECT("PPA."&amp;HOUR(D$11)&amp;"!$D:$D"),$L27,INDIRECT("PPA."&amp;HOUR(D$11)&amp;"!$H:$H"))),"")</f>
        <v/>
      </c>
      <c r="E27" s="195" t="str">
        <f t="shared" ca="1" si="13"/>
        <v/>
      </c>
      <c r="F27" s="195">
        <f t="shared" ca="1" si="13"/>
        <v>9.8475000000000001</v>
      </c>
      <c r="G27" s="195" t="str">
        <f t="shared" ca="1" si="13"/>
        <v/>
      </c>
      <c r="H27" s="195" t="str">
        <f t="shared" ca="1" si="13"/>
        <v/>
      </c>
      <c r="I27" s="249" t="str">
        <f t="shared" ca="1" si="13"/>
        <v/>
      </c>
      <c r="J27" s="249" t="str">
        <f t="shared" ca="1" si="13"/>
        <v/>
      </c>
      <c r="K27" s="221">
        <f ca="1">SUM(D27:J27)</f>
        <v>9.8475000000000001</v>
      </c>
      <c r="L27" s="95">
        <v>100405</v>
      </c>
      <c r="M27" s="95"/>
      <c r="N27" s="50"/>
      <c r="O27" s="50"/>
    </row>
    <row r="28" spans="1:17" s="1" customFormat="1" ht="15" customHeight="1" x14ac:dyDescent="0.35">
      <c r="A28" s="50"/>
      <c r="B28" s="61" t="s">
        <v>23</v>
      </c>
      <c r="C28" s="242"/>
      <c r="D28" s="122" t="str">
        <f t="shared" ca="1" si="13"/>
        <v/>
      </c>
      <c r="E28" s="124" t="str">
        <f t="shared" ca="1" si="13"/>
        <v/>
      </c>
      <c r="F28" s="124">
        <f t="shared" ca="1" si="13"/>
        <v>18.5</v>
      </c>
      <c r="G28" s="124" t="str">
        <f t="shared" ca="1" si="13"/>
        <v/>
      </c>
      <c r="H28" s="124" t="str">
        <f t="shared" ca="1" si="13"/>
        <v/>
      </c>
      <c r="I28" s="126" t="str">
        <f t="shared" ca="1" si="13"/>
        <v/>
      </c>
      <c r="J28" s="126" t="str">
        <f t="shared" ca="1" si="13"/>
        <v/>
      </c>
      <c r="K28" s="221">
        <f t="shared" ref="K28:K38" ca="1" si="14">SUM(D28:J28)</f>
        <v>18.5</v>
      </c>
      <c r="L28" s="95">
        <v>100400</v>
      </c>
      <c r="M28" s="95"/>
      <c r="N28" s="50"/>
      <c r="O28" s="50"/>
    </row>
    <row r="29" spans="1:17" s="1" customFormat="1" ht="15" customHeight="1" x14ac:dyDescent="0.35">
      <c r="A29" s="50"/>
      <c r="B29" s="9" t="s">
        <v>19</v>
      </c>
      <c r="C29" s="242"/>
      <c r="D29" s="122" t="str">
        <f t="shared" ca="1" si="13"/>
        <v/>
      </c>
      <c r="E29" s="124" t="str">
        <f t="shared" ca="1" si="13"/>
        <v/>
      </c>
      <c r="F29" s="124">
        <f t="shared" ca="1" si="13"/>
        <v>22.048888888888875</v>
      </c>
      <c r="G29" s="124" t="str">
        <f t="shared" ca="1" si="13"/>
        <v/>
      </c>
      <c r="H29" s="124" t="str">
        <f t="shared" ca="1" si="13"/>
        <v/>
      </c>
      <c r="I29" s="126" t="str">
        <f t="shared" ca="1" si="13"/>
        <v/>
      </c>
      <c r="J29" s="126" t="str">
        <f t="shared" ca="1" si="13"/>
        <v/>
      </c>
      <c r="K29" s="221">
        <f t="shared" ca="1" si="14"/>
        <v>22.048888888888875</v>
      </c>
      <c r="L29" s="95">
        <v>100020</v>
      </c>
      <c r="M29" s="95"/>
      <c r="N29" s="50"/>
      <c r="O29" s="50"/>
    </row>
    <row r="30" spans="1:17" s="1" customFormat="1" ht="15" customHeight="1" x14ac:dyDescent="0.35">
      <c r="A30" s="50"/>
      <c r="B30" s="9" t="s">
        <v>24</v>
      </c>
      <c r="C30" s="242"/>
      <c r="D30" s="122" t="str">
        <f t="shared" ca="1" si="13"/>
        <v/>
      </c>
      <c r="E30" s="124" t="str">
        <f t="shared" ca="1" si="13"/>
        <v/>
      </c>
      <c r="F30" s="124">
        <f t="shared" ca="1" si="13"/>
        <v>12.25</v>
      </c>
      <c r="G30" s="124" t="str">
        <f t="shared" ca="1" si="13"/>
        <v/>
      </c>
      <c r="H30" s="124" t="str">
        <f t="shared" ca="1" si="13"/>
        <v/>
      </c>
      <c r="I30" s="126" t="str">
        <f t="shared" ca="1" si="13"/>
        <v/>
      </c>
      <c r="J30" s="126" t="str">
        <f t="shared" ca="1" si="13"/>
        <v/>
      </c>
      <c r="K30" s="221">
        <f t="shared" ca="1" si="14"/>
        <v>12.25</v>
      </c>
      <c r="L30" s="95">
        <v>100404</v>
      </c>
      <c r="M30" s="95"/>
      <c r="N30" s="50"/>
      <c r="O30" s="50"/>
    </row>
    <row r="31" spans="1:17" s="1" customFormat="1" ht="15" customHeight="1" x14ac:dyDescent="0.35">
      <c r="A31" s="50"/>
      <c r="B31" s="60" t="s">
        <v>13</v>
      </c>
      <c r="C31" s="242"/>
      <c r="D31" s="122" t="str">
        <f t="shared" ca="1" si="13"/>
        <v/>
      </c>
      <c r="E31" s="124" t="str">
        <f t="shared" ca="1" si="13"/>
        <v/>
      </c>
      <c r="F31" s="124">
        <f t="shared" ca="1" si="13"/>
        <v>15.75</v>
      </c>
      <c r="G31" s="124" t="str">
        <f t="shared" ca="1" si="13"/>
        <v/>
      </c>
      <c r="H31" s="124" t="str">
        <f t="shared" ca="1" si="13"/>
        <v/>
      </c>
      <c r="I31" s="126" t="str">
        <f t="shared" ca="1" si="13"/>
        <v/>
      </c>
      <c r="J31" s="126" t="str">
        <f t="shared" ca="1" si="13"/>
        <v/>
      </c>
      <c r="K31" s="221">
        <f t="shared" ca="1" si="14"/>
        <v>15.75</v>
      </c>
      <c r="L31" s="95">
        <v>100460</v>
      </c>
      <c r="M31" s="95"/>
      <c r="N31" s="50"/>
      <c r="O31" s="50"/>
    </row>
    <row r="32" spans="1:17" s="1" customFormat="1" ht="15" customHeight="1" x14ac:dyDescent="0.35">
      <c r="A32" s="50"/>
      <c r="B32" s="11" t="s">
        <v>30</v>
      </c>
      <c r="C32" s="243"/>
      <c r="D32" s="180">
        <f t="shared" ref="D32:I32" ca="1" si="15">SUM(D27:D31)</f>
        <v>0</v>
      </c>
      <c r="E32" s="230">
        <f t="shared" ca="1" si="15"/>
        <v>0</v>
      </c>
      <c r="F32" s="180">
        <f t="shared" ca="1" si="15"/>
        <v>78.396388888888879</v>
      </c>
      <c r="G32" s="230">
        <f t="shared" ca="1" si="15"/>
        <v>0</v>
      </c>
      <c r="H32" s="180">
        <f t="shared" ca="1" si="15"/>
        <v>0</v>
      </c>
      <c r="I32" s="197">
        <f t="shared" ca="1" si="15"/>
        <v>0</v>
      </c>
      <c r="J32" s="197">
        <f t="shared" ref="J32" ca="1" si="16">SUM(J27:J31)</f>
        <v>0</v>
      </c>
      <c r="K32" s="251">
        <f t="shared" ca="1" si="14"/>
        <v>78.396388888888879</v>
      </c>
      <c r="L32" s="95"/>
      <c r="M32" s="95"/>
      <c r="N32" s="50"/>
      <c r="O32" s="50"/>
    </row>
    <row r="33" spans="1:15" s="1" customFormat="1" ht="15" customHeight="1" x14ac:dyDescent="0.35">
      <c r="A33" s="50"/>
      <c r="B33" s="193" t="s">
        <v>49</v>
      </c>
      <c r="C33" s="245"/>
      <c r="D33" s="239" t="str">
        <f t="shared" ref="D33:J37" ca="1" si="17">IFERROR(IF(SUMIF(INDIRECT("PPA."&amp;HOUR(D$11)&amp;"!$D:$D"),$L33,INDIRECT("PPA."&amp;HOUR(D$11)&amp;"!$H:$H"))=0,"",SUMIF(INDIRECT("PPA."&amp;HOUR(D$11)&amp;"!$D:$D"),$L33,INDIRECT("PPA."&amp;HOUR(D$11)&amp;"!$H:$H"))),"")</f>
        <v/>
      </c>
      <c r="E33" s="195" t="str">
        <f t="shared" ca="1" si="17"/>
        <v/>
      </c>
      <c r="F33" s="195">
        <f t="shared" ca="1" si="17"/>
        <v>141.37111111111108</v>
      </c>
      <c r="G33" s="195" t="str">
        <f t="shared" ca="1" si="17"/>
        <v/>
      </c>
      <c r="H33" s="195" t="str">
        <f t="shared" ca="1" si="17"/>
        <v/>
      </c>
      <c r="I33" s="249" t="str">
        <f t="shared" ca="1" si="17"/>
        <v/>
      </c>
      <c r="J33" s="249" t="str">
        <f t="shared" ca="1" si="17"/>
        <v/>
      </c>
      <c r="K33" s="221">
        <f t="shared" ca="1" si="14"/>
        <v>141.37111111111108</v>
      </c>
      <c r="L33" s="95">
        <v>100407</v>
      </c>
      <c r="M33" s="95"/>
      <c r="N33" s="50"/>
      <c r="O33" s="50"/>
    </row>
    <row r="34" spans="1:15" s="1" customFormat="1" ht="15" customHeight="1" x14ac:dyDescent="0.35">
      <c r="A34" s="50"/>
      <c r="B34" s="9" t="s">
        <v>82</v>
      </c>
      <c r="C34" s="242"/>
      <c r="D34" s="122" t="str">
        <f t="shared" ca="1" si="17"/>
        <v/>
      </c>
      <c r="E34" s="124" t="str">
        <f t="shared" ca="1" si="17"/>
        <v/>
      </c>
      <c r="F34" s="124">
        <f t="shared" ca="1" si="17"/>
        <v>30.684999999999999</v>
      </c>
      <c r="G34" s="124" t="str">
        <f t="shared" ca="1" si="17"/>
        <v/>
      </c>
      <c r="H34" s="124" t="str">
        <f t="shared" ca="1" si="17"/>
        <v/>
      </c>
      <c r="I34" s="126" t="str">
        <f t="shared" ca="1" si="17"/>
        <v/>
      </c>
      <c r="J34" s="126" t="str">
        <f t="shared" ca="1" si="17"/>
        <v/>
      </c>
      <c r="K34" s="221">
        <f t="shared" ca="1" si="14"/>
        <v>30.684999999999999</v>
      </c>
      <c r="L34" s="95">
        <v>100463</v>
      </c>
      <c r="M34" s="95"/>
      <c r="N34" s="50"/>
      <c r="O34" s="50"/>
    </row>
    <row r="35" spans="1:15" s="1" customFormat="1" ht="15" customHeight="1" x14ac:dyDescent="0.35">
      <c r="A35" s="50"/>
      <c r="B35" s="9" t="s">
        <v>10</v>
      </c>
      <c r="C35" s="242"/>
      <c r="D35" s="122" t="str">
        <f t="shared" ca="1" si="17"/>
        <v/>
      </c>
      <c r="E35" s="124" t="str">
        <f t="shared" ca="1" si="17"/>
        <v/>
      </c>
      <c r="F35" s="124">
        <f t="shared" ca="1" si="17"/>
        <v>53.562777777777697</v>
      </c>
      <c r="G35" s="124" t="str">
        <f t="shared" ca="1" si="17"/>
        <v/>
      </c>
      <c r="H35" s="124" t="str">
        <f t="shared" ca="1" si="17"/>
        <v/>
      </c>
      <c r="I35" s="126" t="str">
        <f t="shared" ca="1" si="17"/>
        <v/>
      </c>
      <c r="J35" s="126" t="str">
        <f t="shared" ca="1" si="17"/>
        <v/>
      </c>
      <c r="K35" s="221">
        <f t="shared" ca="1" si="14"/>
        <v>53.562777777777697</v>
      </c>
      <c r="L35" s="95">
        <v>100411</v>
      </c>
      <c r="M35" s="95"/>
      <c r="N35" s="50"/>
      <c r="O35" s="50"/>
    </row>
    <row r="36" spans="1:15" s="1" customFormat="1" ht="15" customHeight="1" x14ac:dyDescent="0.35">
      <c r="A36" s="50"/>
      <c r="B36" s="9" t="s">
        <v>11</v>
      </c>
      <c r="C36" s="242"/>
      <c r="D36" s="122" t="str">
        <f t="shared" ca="1" si="17"/>
        <v/>
      </c>
      <c r="E36" s="124" t="str">
        <f t="shared" ca="1" si="17"/>
        <v/>
      </c>
      <c r="F36" s="124">
        <f t="shared" ca="1" si="17"/>
        <v>6.39472222222222</v>
      </c>
      <c r="G36" s="124" t="str">
        <f t="shared" ca="1" si="17"/>
        <v/>
      </c>
      <c r="H36" s="124" t="str">
        <f t="shared" ca="1" si="17"/>
        <v/>
      </c>
      <c r="I36" s="126" t="str">
        <f t="shared" ca="1" si="17"/>
        <v/>
      </c>
      <c r="J36" s="126" t="str">
        <f t="shared" ca="1" si="17"/>
        <v/>
      </c>
      <c r="K36" s="221">
        <f t="shared" ca="1" si="14"/>
        <v>6.39472222222222</v>
      </c>
      <c r="L36" s="95">
        <v>100410</v>
      </c>
      <c r="M36" s="95"/>
      <c r="N36" s="50"/>
      <c r="O36" s="50"/>
    </row>
    <row r="37" spans="1:15" s="1" customFormat="1" ht="15" customHeight="1" x14ac:dyDescent="0.35">
      <c r="A37" s="50"/>
      <c r="B37" s="9" t="s">
        <v>83</v>
      </c>
      <c r="C37" s="242"/>
      <c r="D37" s="122" t="str">
        <f t="shared" ca="1" si="17"/>
        <v/>
      </c>
      <c r="E37" s="124" t="str">
        <f t="shared" ca="1" si="17"/>
        <v/>
      </c>
      <c r="F37" s="124">
        <f t="shared" ca="1" si="17"/>
        <v>6.56</v>
      </c>
      <c r="G37" s="124" t="str">
        <f t="shared" ca="1" si="17"/>
        <v/>
      </c>
      <c r="H37" s="124" t="str">
        <f t="shared" ca="1" si="17"/>
        <v/>
      </c>
      <c r="I37" s="126" t="str">
        <f t="shared" ca="1" si="17"/>
        <v/>
      </c>
      <c r="J37" s="126" t="str">
        <f t="shared" ca="1" si="17"/>
        <v/>
      </c>
      <c r="K37" s="221">
        <f t="shared" ca="1" si="14"/>
        <v>6.56</v>
      </c>
      <c r="L37" s="95">
        <v>100462</v>
      </c>
      <c r="M37" s="95"/>
      <c r="N37" s="50"/>
      <c r="O37" s="50"/>
    </row>
    <row r="38" spans="1:15" s="1" customFormat="1" ht="15" customHeight="1" x14ac:dyDescent="0.35">
      <c r="A38" s="50"/>
      <c r="B38" s="11" t="s">
        <v>84</v>
      </c>
      <c r="C38" s="243"/>
      <c r="D38" s="180">
        <f ca="1">SUM(D33:D37)</f>
        <v>0</v>
      </c>
      <c r="E38" s="230">
        <f t="shared" ref="E38:I38" ca="1" si="18">SUM(E33:E37)</f>
        <v>0</v>
      </c>
      <c r="F38" s="230">
        <f t="shared" ca="1" si="18"/>
        <v>238.57361111111098</v>
      </c>
      <c r="G38" s="230">
        <f t="shared" ca="1" si="18"/>
        <v>0</v>
      </c>
      <c r="H38" s="230">
        <f t="shared" ca="1" si="18"/>
        <v>0</v>
      </c>
      <c r="I38" s="180">
        <f t="shared" ca="1" si="18"/>
        <v>0</v>
      </c>
      <c r="J38" s="180">
        <f t="shared" ref="J38" ca="1" si="19">SUM(J33:J37)</f>
        <v>0</v>
      </c>
      <c r="K38" s="251">
        <f t="shared" ca="1" si="14"/>
        <v>238.57361111111098</v>
      </c>
      <c r="L38" s="95"/>
      <c r="M38" s="95"/>
      <c r="N38" s="50"/>
      <c r="O38" s="50"/>
    </row>
    <row r="39" spans="1:15" s="1" customFormat="1" ht="15" customHeight="1" thickBot="1" x14ac:dyDescent="0.4">
      <c r="A39" s="50"/>
      <c r="B39" s="253" t="s">
        <v>44</v>
      </c>
      <c r="C39" s="441" t="s">
        <v>44</v>
      </c>
      <c r="D39" s="441"/>
      <c r="E39" s="441"/>
      <c r="F39" s="441"/>
      <c r="G39" s="441"/>
      <c r="H39" s="441"/>
      <c r="I39" s="441"/>
      <c r="J39" s="441"/>
      <c r="K39" s="440"/>
      <c r="L39" s="95"/>
      <c r="M39" s="95"/>
      <c r="N39" s="50"/>
      <c r="O39" s="50"/>
    </row>
    <row r="40" spans="1:15" s="1" customFormat="1" ht="15" customHeight="1" x14ac:dyDescent="0.35">
      <c r="A40" s="50"/>
      <c r="B40" s="62" t="s">
        <v>16</v>
      </c>
      <c r="C40" s="242"/>
      <c r="D40" s="122" t="str">
        <f t="shared" ref="D40:I44" ca="1" si="20">IFERROR(D$22/D27,"")</f>
        <v/>
      </c>
      <c r="E40" s="23" t="str">
        <f t="shared" ca="1" si="20"/>
        <v/>
      </c>
      <c r="F40" s="124">
        <f t="shared" ca="1" si="20"/>
        <v>1971.4648387915715</v>
      </c>
      <c r="G40" s="23" t="str">
        <f t="shared" ca="1" si="20"/>
        <v/>
      </c>
      <c r="H40" s="124" t="str">
        <f t="shared" ca="1" si="20"/>
        <v/>
      </c>
      <c r="I40" s="23" t="str">
        <f t="shared" ca="1" si="20"/>
        <v/>
      </c>
      <c r="J40" s="278" t="str">
        <f t="shared" ref="J40" ca="1" si="21">IFERROR(J$22/J27,"")</f>
        <v/>
      </c>
      <c r="K40" s="221">
        <f ca="1">SUM(D40:J40)</f>
        <v>1971.4648387915715</v>
      </c>
      <c r="L40" s="95"/>
      <c r="M40" s="50"/>
      <c r="N40" s="50"/>
      <c r="O40" s="50"/>
    </row>
    <row r="41" spans="1:15" s="1" customFormat="1" ht="15" customHeight="1" x14ac:dyDescent="0.35">
      <c r="A41" s="50"/>
      <c r="B41" s="61" t="s">
        <v>23</v>
      </c>
      <c r="C41" s="242"/>
      <c r="D41" s="122" t="str">
        <f t="shared" ca="1" si="20"/>
        <v/>
      </c>
      <c r="E41" s="23" t="str">
        <f t="shared" ca="1" si="20"/>
        <v/>
      </c>
      <c r="F41" s="124">
        <f t="shared" ca="1" si="20"/>
        <v>1049.4054054054054</v>
      </c>
      <c r="G41" s="23" t="str">
        <f t="shared" ca="1" si="20"/>
        <v/>
      </c>
      <c r="H41" s="124" t="str">
        <f t="shared" ca="1" si="20"/>
        <v/>
      </c>
      <c r="I41" s="23" t="str">
        <f t="shared" ca="1" si="20"/>
        <v/>
      </c>
      <c r="J41" s="216" t="str">
        <f t="shared" ref="J41" ca="1" si="22">IFERROR(J$22/J28,"")</f>
        <v/>
      </c>
      <c r="K41" s="221">
        <f t="shared" ref="K41:K51" ca="1" si="23">SUM(D41:J41)</f>
        <v>1049.4054054054054</v>
      </c>
      <c r="L41" s="95"/>
      <c r="M41" s="50"/>
      <c r="N41" s="50"/>
      <c r="O41" s="50"/>
    </row>
    <row r="42" spans="1:15" s="1" customFormat="1" ht="15" customHeight="1" x14ac:dyDescent="0.35">
      <c r="A42" s="50"/>
      <c r="B42" s="9" t="s">
        <v>19</v>
      </c>
      <c r="C42" s="242"/>
      <c r="D42" s="122" t="str">
        <f t="shared" ca="1" si="20"/>
        <v/>
      </c>
      <c r="E42" s="23" t="str">
        <f t="shared" ca="1" si="20"/>
        <v/>
      </c>
      <c r="F42" s="124">
        <f t="shared" ca="1" si="20"/>
        <v>880.49788349123219</v>
      </c>
      <c r="G42" s="23" t="str">
        <f t="shared" ca="1" si="20"/>
        <v/>
      </c>
      <c r="H42" s="124" t="str">
        <f t="shared" ca="1" si="20"/>
        <v/>
      </c>
      <c r="I42" s="23" t="str">
        <f t="shared" ca="1" si="20"/>
        <v/>
      </c>
      <c r="J42" s="216" t="str">
        <f t="shared" ref="J42" ca="1" si="24">IFERROR(J$22/J29,"")</f>
        <v/>
      </c>
      <c r="K42" s="221">
        <f t="shared" ca="1" si="23"/>
        <v>880.49788349123219</v>
      </c>
      <c r="L42" s="95"/>
      <c r="M42" s="50"/>
      <c r="N42" s="50"/>
      <c r="O42" s="50"/>
    </row>
    <row r="43" spans="1:15" s="1" customFormat="1" ht="15" customHeight="1" x14ac:dyDescent="0.35">
      <c r="A43" s="50"/>
      <c r="B43" s="9" t="s">
        <v>24</v>
      </c>
      <c r="C43" s="242"/>
      <c r="D43" s="122" t="str">
        <f t="shared" ca="1" si="20"/>
        <v/>
      </c>
      <c r="E43" s="124" t="str">
        <f t="shared" ref="E43:I43" ca="1" si="25">IFERROR(E$22/E30,"")</f>
        <v/>
      </c>
      <c r="F43" s="124">
        <f t="shared" ca="1" si="25"/>
        <v>1584.8163265306123</v>
      </c>
      <c r="G43" s="124" t="str">
        <f t="shared" ca="1" si="25"/>
        <v/>
      </c>
      <c r="H43" s="124" t="str">
        <f t="shared" ca="1" si="25"/>
        <v/>
      </c>
      <c r="I43" s="126" t="str">
        <f t="shared" ca="1" si="25"/>
        <v/>
      </c>
      <c r="J43" s="126" t="str">
        <f t="shared" ref="J43" ca="1" si="26">IFERROR(J$22/J30,"")</f>
        <v/>
      </c>
      <c r="K43" s="221">
        <f t="shared" ca="1" si="23"/>
        <v>1584.8163265306123</v>
      </c>
      <c r="L43" s="95"/>
      <c r="M43" s="50"/>
      <c r="N43" s="50"/>
      <c r="O43" s="50"/>
    </row>
    <row r="44" spans="1:15" s="1" customFormat="1" ht="15" customHeight="1" x14ac:dyDescent="0.35">
      <c r="A44" s="50"/>
      <c r="B44" s="60" t="s">
        <v>13</v>
      </c>
      <c r="C44" s="242"/>
      <c r="D44" s="122" t="str">
        <f t="shared" ca="1" si="20"/>
        <v/>
      </c>
      <c r="E44" s="124" t="str">
        <f t="shared" ref="E44:I44" ca="1" si="27">IFERROR(E$22/E31,"")</f>
        <v/>
      </c>
      <c r="F44" s="124">
        <f t="shared" ca="1" si="27"/>
        <v>1232.6349206349207</v>
      </c>
      <c r="G44" s="124" t="str">
        <f t="shared" ca="1" si="27"/>
        <v/>
      </c>
      <c r="H44" s="124" t="str">
        <f t="shared" ca="1" si="27"/>
        <v/>
      </c>
      <c r="I44" s="126" t="str">
        <f t="shared" ca="1" si="27"/>
        <v/>
      </c>
      <c r="J44" s="126" t="str">
        <f t="shared" ref="J44" ca="1" si="28">IFERROR(J$22/J31,"")</f>
        <v/>
      </c>
      <c r="K44" s="221">
        <f t="shared" ca="1" si="23"/>
        <v>1232.6349206349207</v>
      </c>
      <c r="L44" s="95">
        <v>100460</v>
      </c>
      <c r="M44" s="95"/>
      <c r="N44" s="50"/>
      <c r="O44" s="50"/>
    </row>
    <row r="45" spans="1:15" s="1" customFormat="1" ht="15" customHeight="1" x14ac:dyDescent="0.35">
      <c r="A45" s="50"/>
      <c r="B45" s="11" t="s">
        <v>30</v>
      </c>
      <c r="C45" s="243"/>
      <c r="D45" s="180">
        <f ca="1">SUM(D40:D44)</f>
        <v>0</v>
      </c>
      <c r="E45" s="197">
        <f t="shared" ref="E45:I45" ca="1" si="29">SUM(E40:E44)</f>
        <v>0</v>
      </c>
      <c r="F45" s="197">
        <f t="shared" ca="1" si="29"/>
        <v>6718.8193748537424</v>
      </c>
      <c r="G45" s="197">
        <f t="shared" ca="1" si="29"/>
        <v>0</v>
      </c>
      <c r="H45" s="197">
        <f t="shared" ca="1" si="29"/>
        <v>0</v>
      </c>
      <c r="I45" s="197">
        <f t="shared" ca="1" si="29"/>
        <v>0</v>
      </c>
      <c r="J45" s="197">
        <f t="shared" ref="J45" ca="1" si="30">SUM(J40:J44)</f>
        <v>0</v>
      </c>
      <c r="K45" s="251">
        <f t="shared" ca="1" si="23"/>
        <v>6718.8193748537424</v>
      </c>
      <c r="L45" s="95"/>
      <c r="M45" s="50"/>
      <c r="N45" s="50"/>
      <c r="O45" s="50"/>
    </row>
    <row r="46" spans="1:15" s="1" customFormat="1" ht="15" customHeight="1" x14ac:dyDescent="0.35">
      <c r="A46" s="50"/>
      <c r="B46" s="193" t="s">
        <v>49</v>
      </c>
      <c r="C46" s="245"/>
      <c r="D46" s="23" t="str">
        <f t="shared" ref="D46:I50" ca="1" si="31">IFERROR(D$22/D33,"")</f>
        <v/>
      </c>
      <c r="E46" s="195" t="str">
        <f t="shared" ca="1" si="31"/>
        <v/>
      </c>
      <c r="F46" s="23">
        <f t="shared" ca="1" si="31"/>
        <v>137.32650077809393</v>
      </c>
      <c r="G46" s="195" t="str">
        <f t="shared" ca="1" si="31"/>
        <v/>
      </c>
      <c r="H46" s="23" t="str">
        <f t="shared" ca="1" si="31"/>
        <v/>
      </c>
      <c r="I46" s="249" t="str">
        <f t="shared" ca="1" si="31"/>
        <v/>
      </c>
      <c r="J46" s="249" t="str">
        <f t="shared" ref="J46" ca="1" si="32">IFERROR(J$22/J33,"")</f>
        <v/>
      </c>
      <c r="K46" s="221">
        <f t="shared" ca="1" si="23"/>
        <v>137.32650077809393</v>
      </c>
      <c r="L46" s="95"/>
      <c r="M46" s="50"/>
      <c r="N46" s="50"/>
      <c r="O46" s="50"/>
    </row>
    <row r="47" spans="1:15" s="1" customFormat="1" ht="15" customHeight="1" x14ac:dyDescent="0.35">
      <c r="A47" s="50"/>
      <c r="B47" s="9" t="s">
        <v>82</v>
      </c>
      <c r="C47" s="242"/>
      <c r="D47" s="23" t="str">
        <f t="shared" ca="1" si="31"/>
        <v/>
      </c>
      <c r="E47" s="124" t="str">
        <f t="shared" ca="1" si="31"/>
        <v/>
      </c>
      <c r="F47" s="23">
        <f t="shared" ca="1" si="31"/>
        <v>632.68698060941836</v>
      </c>
      <c r="G47" s="124" t="str">
        <f t="shared" ca="1" si="31"/>
        <v/>
      </c>
      <c r="H47" s="23" t="str">
        <f t="shared" ca="1" si="31"/>
        <v/>
      </c>
      <c r="I47" s="126" t="str">
        <f t="shared" ca="1" si="31"/>
        <v/>
      </c>
      <c r="J47" s="126" t="str">
        <f t="shared" ref="J47" ca="1" si="33">IFERROR(J$22/J34,"")</f>
        <v/>
      </c>
      <c r="K47" s="221">
        <f t="shared" ca="1" si="23"/>
        <v>632.68698060941836</v>
      </c>
      <c r="L47" s="95"/>
      <c r="M47" s="50"/>
      <c r="N47" s="50"/>
      <c r="O47" s="50"/>
    </row>
    <row r="48" spans="1:15" s="1" customFormat="1" ht="15" customHeight="1" x14ac:dyDescent="0.35">
      <c r="A48" s="50"/>
      <c r="B48" s="9" t="s">
        <v>10</v>
      </c>
      <c r="C48" s="242"/>
      <c r="D48" s="23" t="str">
        <f t="shared" ca="1" si="31"/>
        <v/>
      </c>
      <c r="E48" s="124" t="str">
        <f t="shared" ca="1" si="31"/>
        <v/>
      </c>
      <c r="F48" s="23">
        <f t="shared" ca="1" si="31"/>
        <v>362.45319614574851</v>
      </c>
      <c r="G48" s="124" t="str">
        <f t="shared" ca="1" si="31"/>
        <v/>
      </c>
      <c r="H48" s="23" t="str">
        <f t="shared" ca="1" si="31"/>
        <v/>
      </c>
      <c r="I48" s="126" t="str">
        <f t="shared" ca="1" si="31"/>
        <v/>
      </c>
      <c r="J48" s="126" t="str">
        <f t="shared" ref="J48" ca="1" si="34">IFERROR(J$22/J35,"")</f>
        <v/>
      </c>
      <c r="K48" s="221">
        <f t="shared" ca="1" si="23"/>
        <v>362.45319614574851</v>
      </c>
      <c r="L48" s="95"/>
      <c r="M48" s="50"/>
      <c r="N48" s="50"/>
      <c r="O48" s="50"/>
    </row>
    <row r="49" spans="1:20" s="1" customFormat="1" ht="15" customHeight="1" x14ac:dyDescent="0.35">
      <c r="A49" s="50"/>
      <c r="B49" s="9" t="s">
        <v>11</v>
      </c>
      <c r="C49" s="242"/>
      <c r="D49" s="23" t="str">
        <f t="shared" ca="1" si="31"/>
        <v/>
      </c>
      <c r="E49" s="124" t="str">
        <f t="shared" ca="1" si="31"/>
        <v/>
      </c>
      <c r="F49" s="23">
        <f t="shared" ca="1" si="31"/>
        <v>3035.9410972590254</v>
      </c>
      <c r="G49" s="124" t="str">
        <f t="shared" ca="1" si="31"/>
        <v/>
      </c>
      <c r="H49" s="23" t="str">
        <f t="shared" ca="1" si="31"/>
        <v/>
      </c>
      <c r="I49" s="126" t="str">
        <f t="shared" ca="1" si="31"/>
        <v/>
      </c>
      <c r="J49" s="126" t="str">
        <f t="shared" ref="J49" ca="1" si="35">IFERROR(J$22/J36,"")</f>
        <v/>
      </c>
      <c r="K49" s="221">
        <f t="shared" ca="1" si="23"/>
        <v>3035.9410972590254</v>
      </c>
      <c r="L49" s="95"/>
      <c r="M49" s="50"/>
      <c r="N49" s="50"/>
      <c r="O49" s="50"/>
    </row>
    <row r="50" spans="1:20" s="1" customFormat="1" ht="15" customHeight="1" x14ac:dyDescent="0.35">
      <c r="A50" s="50"/>
      <c r="B50" s="9" t="s">
        <v>83</v>
      </c>
      <c r="C50" s="246"/>
      <c r="D50" s="23" t="str">
        <f t="shared" ca="1" si="31"/>
        <v/>
      </c>
      <c r="E50" s="196" t="str">
        <f t="shared" ca="1" si="31"/>
        <v/>
      </c>
      <c r="F50" s="23">
        <f t="shared" ca="1" si="31"/>
        <v>2959.4512195121952</v>
      </c>
      <c r="G50" s="196" t="str">
        <f t="shared" ca="1" si="31"/>
        <v/>
      </c>
      <c r="H50" s="23" t="str">
        <f t="shared" ca="1" si="31"/>
        <v/>
      </c>
      <c r="I50" s="250" t="str">
        <f t="shared" ca="1" si="31"/>
        <v/>
      </c>
      <c r="J50" s="250" t="str">
        <f t="shared" ref="J50" ca="1" si="36">IFERROR(J$22/J37,"")</f>
        <v/>
      </c>
      <c r="K50" s="221">
        <f t="shared" ca="1" si="23"/>
        <v>2959.4512195121952</v>
      </c>
      <c r="L50" s="95"/>
      <c r="M50" s="50"/>
      <c r="N50" s="50"/>
      <c r="O50" s="50"/>
    </row>
    <row r="51" spans="1:20" s="1" customFormat="1" ht="15" customHeight="1" thickBot="1" x14ac:dyDescent="0.4">
      <c r="A51" s="50"/>
      <c r="B51" s="11" t="s">
        <v>84</v>
      </c>
      <c r="C51" s="243"/>
      <c r="D51" s="180">
        <f ca="1">SUM(D46:D50)</f>
        <v>0</v>
      </c>
      <c r="E51" s="230">
        <f t="shared" ref="E51:I51" ca="1" si="37">SUM(E46:E50)</f>
        <v>0</v>
      </c>
      <c r="F51" s="230">
        <f t="shared" ca="1" si="37"/>
        <v>7127.8589943044808</v>
      </c>
      <c r="G51" s="230">
        <f t="shared" ca="1" si="37"/>
        <v>0</v>
      </c>
      <c r="H51" s="230">
        <f t="shared" ca="1" si="37"/>
        <v>0</v>
      </c>
      <c r="I51" s="180">
        <f t="shared" ca="1" si="37"/>
        <v>0</v>
      </c>
      <c r="J51" s="277">
        <f t="shared" ref="J51" ca="1" si="38">SUM(J46:J50)</f>
        <v>0</v>
      </c>
      <c r="K51" s="251">
        <f t="shared" ca="1" si="23"/>
        <v>7127.8589943044808</v>
      </c>
      <c r="L51" s="95"/>
      <c r="M51" s="50"/>
      <c r="N51" s="50"/>
      <c r="O51" s="50"/>
    </row>
    <row r="52" spans="1:20" s="1" customFormat="1" ht="15" customHeight="1" thickBot="1" x14ac:dyDescent="0.4">
      <c r="A52" s="50"/>
      <c r="B52" s="233" t="s">
        <v>45</v>
      </c>
      <c r="C52" s="439" t="s">
        <v>45</v>
      </c>
      <c r="D52" s="439"/>
      <c r="E52" s="439"/>
      <c r="F52" s="439"/>
      <c r="G52" s="439"/>
      <c r="H52" s="439"/>
      <c r="I52" s="439"/>
      <c r="J52" s="439"/>
      <c r="K52" s="440"/>
      <c r="L52" s="95"/>
      <c r="M52" s="50"/>
      <c r="N52" s="50"/>
      <c r="O52" s="50"/>
    </row>
    <row r="53" spans="1:20" s="1" customFormat="1" ht="15" customHeight="1" x14ac:dyDescent="0.35">
      <c r="A53" s="50"/>
      <c r="B53" s="9" t="s">
        <v>46</v>
      </c>
      <c r="C53" s="247"/>
      <c r="D53" s="240" t="str">
        <f ca="1">IFERROR(D22/#REF!,"")</f>
        <v/>
      </c>
      <c r="E53" s="27" t="str">
        <f ca="1">IFERROR(E22/#REF!,"")</f>
        <v/>
      </c>
      <c r="F53" s="171" t="str">
        <f ca="1">IFERROR(F22/#REF!,"")</f>
        <v/>
      </c>
      <c r="G53" s="27" t="str">
        <f ca="1">IFERROR(G22/#REF!,"")</f>
        <v/>
      </c>
      <c r="H53" s="171" t="str">
        <f ca="1">IFERROR(H22/#REF!,"")</f>
        <v/>
      </c>
      <c r="I53" s="27" t="str">
        <f ca="1">IFERROR(I22/#REF!,"")</f>
        <v/>
      </c>
      <c r="J53" s="27"/>
      <c r="K53" s="221">
        <f ca="1">SUM(D53:J53)</f>
        <v>0</v>
      </c>
      <c r="L53" s="95"/>
      <c r="M53" s="50"/>
      <c r="N53" s="50"/>
      <c r="O53" s="50"/>
    </row>
    <row r="54" spans="1:20" s="1" customFormat="1" ht="15" customHeight="1" thickBot="1" x14ac:dyDescent="0.4">
      <c r="A54" s="50"/>
      <c r="B54" s="10" t="s">
        <v>47</v>
      </c>
      <c r="C54" s="248"/>
      <c r="D54" s="241" t="str">
        <f ca="1">IFERROR(D23/SUM(#REF!),"")</f>
        <v/>
      </c>
      <c r="E54" s="82" t="str">
        <f ca="1">IFERROR(E23/SUM(#REF!),"")</f>
        <v/>
      </c>
      <c r="F54" s="172" t="str">
        <f ca="1">IFERROR(F23/SUM(#REF!),"")</f>
        <v/>
      </c>
      <c r="G54" s="82" t="str">
        <f ca="1">IFERROR(G23/SUM(#REF!),"")</f>
        <v/>
      </c>
      <c r="H54" s="172" t="str">
        <f ca="1">IFERROR(H23/SUM(#REF!),"")</f>
        <v/>
      </c>
      <c r="I54" s="82" t="str">
        <f ca="1">IFERROR(I23/SUM(#REF!),"")</f>
        <v/>
      </c>
      <c r="J54" s="82"/>
      <c r="K54" s="252">
        <f ca="1">SUM(D54:J54)</f>
        <v>0</v>
      </c>
      <c r="L54" s="95"/>
      <c r="M54" s="50"/>
      <c r="N54" s="50"/>
      <c r="O54" s="50"/>
    </row>
    <row r="55" spans="1:20" ht="15" thickTop="1" x14ac:dyDescent="0.35"/>
    <row r="56" spans="1:20" ht="14.5" x14ac:dyDescent="0.35"/>
    <row r="57" spans="1:20" ht="14.5" x14ac:dyDescent="0.35">
      <c r="B57" s="58"/>
    </row>
    <row r="58" spans="1:20" ht="14.5" x14ac:dyDescent="0.35">
      <c r="B58" s="58"/>
    </row>
    <row r="59" spans="1:20" ht="14.5" x14ac:dyDescent="0.35">
      <c r="B59" s="387"/>
      <c r="C59" s="387"/>
      <c r="D59" s="387"/>
      <c r="E59" s="387"/>
      <c r="F59" s="387"/>
      <c r="G59" s="387"/>
    </row>
    <row r="60" spans="1:20" ht="14.5" x14ac:dyDescent="0.35">
      <c r="B60" s="387"/>
      <c r="C60" s="387"/>
      <c r="D60" s="387"/>
      <c r="E60" s="387"/>
      <c r="F60" s="387"/>
      <c r="G60" s="387"/>
    </row>
    <row r="61" spans="1:20" s="57" customFormat="1" ht="14.5" x14ac:dyDescent="0.35">
      <c r="B61" s="387"/>
      <c r="C61" s="387"/>
      <c r="D61" s="387"/>
      <c r="E61" s="387"/>
      <c r="F61" s="387"/>
      <c r="G61" s="387"/>
      <c r="L61" s="191"/>
      <c r="S61" s="69"/>
    </row>
    <row r="62" spans="1:20" s="57" customFormat="1" ht="14.5" x14ac:dyDescent="0.35">
      <c r="B62" s="387"/>
      <c r="C62" s="387"/>
      <c r="D62" s="387"/>
      <c r="E62" s="387"/>
      <c r="F62" s="387"/>
      <c r="G62" s="387"/>
      <c r="L62" s="192"/>
      <c r="M62" s="56"/>
      <c r="T62" s="69"/>
    </row>
    <row r="63" spans="1:20" s="57" customFormat="1" ht="14.5" x14ac:dyDescent="0.35">
      <c r="L63" s="192"/>
      <c r="M63" s="56"/>
      <c r="T63" s="69"/>
    </row>
    <row r="64" spans="1:20" s="57" customFormat="1" ht="14.5" x14ac:dyDescent="0.35">
      <c r="L64" s="192"/>
      <c r="M64" s="56"/>
      <c r="T64" s="69"/>
    </row>
    <row r="65" spans="12:20" s="57" customFormat="1" ht="14.5" x14ac:dyDescent="0.35">
      <c r="L65" s="192"/>
      <c r="M65" s="56"/>
      <c r="T65" s="69"/>
    </row>
    <row r="66" spans="12:20" s="57" customFormat="1" ht="14.5" hidden="1" x14ac:dyDescent="0.35">
      <c r="L66" s="192"/>
      <c r="M66" s="56"/>
      <c r="T66" s="69"/>
    </row>
    <row r="67" spans="12:20" s="57" customFormat="1" ht="14.5" hidden="1" x14ac:dyDescent="0.35">
      <c r="L67" s="192"/>
      <c r="M67" s="56"/>
      <c r="T67" s="69"/>
    </row>
    <row r="68" spans="12:20" s="57" customFormat="1" ht="14.5" hidden="1" x14ac:dyDescent="0.35">
      <c r="L68" s="192"/>
      <c r="M68" s="56"/>
      <c r="T68" s="69"/>
    </row>
    <row r="69" spans="12:20" s="57" customFormat="1" ht="14.5" hidden="1" x14ac:dyDescent="0.35">
      <c r="L69" s="192"/>
      <c r="M69" s="56"/>
    </row>
    <row r="70" spans="12:20" ht="14.5" hidden="1" x14ac:dyDescent="0.35"/>
    <row r="71" spans="12:20" ht="14.5" hidden="1" x14ac:dyDescent="0.35"/>
    <row r="72" spans="12:20" ht="14.5" hidden="1" x14ac:dyDescent="0.35"/>
    <row r="73" spans="12:20" ht="14.5" hidden="1" x14ac:dyDescent="0.35"/>
    <row r="74" spans="12:20" ht="14.5" hidden="1" x14ac:dyDescent="0.35"/>
    <row r="75" spans="12:20" ht="14.5" hidden="1" x14ac:dyDescent="0.35"/>
    <row r="76" spans="12:20" ht="14.5" hidden="1" x14ac:dyDescent="0.35"/>
    <row r="77" spans="12:20" ht="14.5" hidden="1" x14ac:dyDescent="0.35"/>
    <row r="78" spans="12:20" ht="14.5" hidden="1" x14ac:dyDescent="0.35"/>
    <row r="79" spans="12:20" ht="14.5" hidden="1" x14ac:dyDescent="0.35"/>
    <row r="80" spans="12:20" ht="14.5" hidden="1" x14ac:dyDescent="0.35"/>
    <row r="81" ht="14.5" hidden="1" x14ac:dyDescent="0.35"/>
    <row r="82" ht="14.5" hidden="1" x14ac:dyDescent="0.35"/>
    <row r="83" ht="14.5" hidden="1" x14ac:dyDescent="0.35"/>
    <row r="84" ht="14.5" hidden="1" x14ac:dyDescent="0.35"/>
    <row r="85" ht="14.5" hidden="1" x14ac:dyDescent="0.35"/>
    <row r="86" ht="14.5" hidden="1" x14ac:dyDescent="0.35"/>
    <row r="87" ht="14.5" hidden="1" x14ac:dyDescent="0.35"/>
    <row r="88" ht="14.5" hidden="1" x14ac:dyDescent="0.35"/>
    <row r="89" ht="14.5" hidden="1" x14ac:dyDescent="0.35"/>
    <row r="90" ht="14.5" hidden="1" x14ac:dyDescent="0.35"/>
    <row r="91" ht="14.5" hidden="1" x14ac:dyDescent="0.35"/>
    <row r="92" ht="14.5" hidden="1" x14ac:dyDescent="0.35"/>
    <row r="93" ht="14.5" hidden="1" x14ac:dyDescent="0.35"/>
    <row r="94" ht="14.5" hidden="1" x14ac:dyDescent="0.35"/>
    <row r="95" ht="14.5" hidden="1" x14ac:dyDescent="0.35"/>
    <row r="96" ht="14.5" hidden="1" x14ac:dyDescent="0.35"/>
    <row r="97" ht="14.5" hidden="1" x14ac:dyDescent="0.35"/>
    <row r="98" ht="14.5" hidden="1" x14ac:dyDescent="0.35"/>
    <row r="99" ht="14.5" hidden="1" x14ac:dyDescent="0.35"/>
    <row r="100" ht="14.5" hidden="1" x14ac:dyDescent="0.35"/>
  </sheetData>
  <dataConsolidate/>
  <mergeCells count="12">
    <mergeCell ref="B59:G62"/>
    <mergeCell ref="B1:C1"/>
    <mergeCell ref="B5:K5"/>
    <mergeCell ref="B6:K6"/>
    <mergeCell ref="B7:K9"/>
    <mergeCell ref="C14:K14"/>
    <mergeCell ref="C12:K12"/>
    <mergeCell ref="C52:K52"/>
    <mergeCell ref="C39:K39"/>
    <mergeCell ref="C26:K26"/>
    <mergeCell ref="C24:K24"/>
    <mergeCell ref="C21:K21"/>
  </mergeCells>
  <conditionalFormatting sqref="D16:J16">
    <cfRule type="cellIs" dxfId="197" priority="65" operator="lessThan">
      <formula>$D$15*0.95</formula>
    </cfRule>
  </conditionalFormatting>
  <conditionalFormatting sqref="D27">
    <cfRule type="expression" dxfId="196" priority="60">
      <formula>(AND(ISNUMBER($C27),(IF(D27="",0,D27)&gt;$C27)=TRUE))</formula>
    </cfRule>
  </conditionalFormatting>
  <conditionalFormatting sqref="E27">
    <cfRule type="expression" dxfId="195" priority="59">
      <formula>(AND(ISNUMBER($C27),(IF(E27="",0,E27)&gt;$C27)=TRUE))</formula>
    </cfRule>
  </conditionalFormatting>
  <conditionalFormatting sqref="F27">
    <cfRule type="expression" dxfId="194" priority="58">
      <formula>(AND(ISNUMBER($C27),(IF(F27="",0,F27)&gt;$C27)=TRUE))</formula>
    </cfRule>
  </conditionalFormatting>
  <conditionalFormatting sqref="G27">
    <cfRule type="expression" dxfId="193" priority="57">
      <formula>(AND(ISNUMBER($C27),(IF(G27="",0,G27)&gt;$C27)=TRUE))</formula>
    </cfRule>
  </conditionalFormatting>
  <conditionalFormatting sqref="H27">
    <cfRule type="expression" dxfId="192" priority="56">
      <formula>(AND(ISNUMBER($C27),(IF(H27="",0,H27)&gt;$C27)=TRUE))</formula>
    </cfRule>
  </conditionalFormatting>
  <conditionalFormatting sqref="I27:J27">
    <cfRule type="expression" dxfId="191" priority="55">
      <formula>(AND(ISNUMBER($C27),(IF(I27="",0,I27)&gt;$C27)=TRUE))</formula>
    </cfRule>
  </conditionalFormatting>
  <conditionalFormatting sqref="I28:J28">
    <cfRule type="expression" dxfId="190" priority="54">
      <formula>(AND(ISNUMBER($C28),(IF(I28="",0,I28)&gt;$C28)=TRUE))</formula>
    </cfRule>
  </conditionalFormatting>
  <conditionalFormatting sqref="H28">
    <cfRule type="expression" dxfId="189" priority="53">
      <formula>(AND(ISNUMBER($C28),(IF(H28="",0,H28)&gt;$C28)=TRUE))</formula>
    </cfRule>
  </conditionalFormatting>
  <conditionalFormatting sqref="G28">
    <cfRule type="expression" dxfId="188" priority="52">
      <formula>(AND(ISNUMBER($C28),(IF(G28="",0,G28)&gt;$C28)=TRUE))</formula>
    </cfRule>
  </conditionalFormatting>
  <conditionalFormatting sqref="F28">
    <cfRule type="expression" dxfId="187" priority="51">
      <formula>(AND(ISNUMBER($C28),(IF(F28="",0,F28)&gt;$C28)=TRUE))</formula>
    </cfRule>
  </conditionalFormatting>
  <conditionalFormatting sqref="E28">
    <cfRule type="expression" dxfId="186" priority="50">
      <formula>(AND(ISNUMBER($C28),(IF(E28="",0,E28)&gt;$C28)=TRUE))</formula>
    </cfRule>
  </conditionalFormatting>
  <conditionalFormatting sqref="D28">
    <cfRule type="expression" dxfId="185" priority="49">
      <formula>(AND(ISNUMBER($C28),(IF(D28="",0,D28)&gt;$C28)=TRUE))</formula>
    </cfRule>
  </conditionalFormatting>
  <conditionalFormatting sqref="D29">
    <cfRule type="expression" dxfId="184" priority="48">
      <formula>(AND(ISNUMBER($C29),(IF(D29="",0,D29)&gt;$C29)=TRUE))</formula>
    </cfRule>
  </conditionalFormatting>
  <conditionalFormatting sqref="E29">
    <cfRule type="expression" dxfId="183" priority="47">
      <formula>(AND(ISNUMBER($C29),(IF(E29="",0,E29)&gt;$C29)=TRUE))</formula>
    </cfRule>
  </conditionalFormatting>
  <conditionalFormatting sqref="F29">
    <cfRule type="expression" dxfId="182" priority="46">
      <formula>(AND(ISNUMBER($C29),(IF(F29="",0,F29)&gt;$C29)=TRUE))</formula>
    </cfRule>
  </conditionalFormatting>
  <conditionalFormatting sqref="G29">
    <cfRule type="expression" dxfId="181" priority="45">
      <formula>(AND(ISNUMBER($C29),(IF(G29="",0,G29)&gt;$C29)=TRUE))</formula>
    </cfRule>
  </conditionalFormatting>
  <conditionalFormatting sqref="H29">
    <cfRule type="expression" dxfId="180" priority="44">
      <formula>(AND(ISNUMBER($C29),(IF(H29="",0,H29)&gt;$C29)=TRUE))</formula>
    </cfRule>
  </conditionalFormatting>
  <conditionalFormatting sqref="I29:J29">
    <cfRule type="expression" dxfId="179" priority="43">
      <formula>(AND(ISNUMBER($C29),(IF(I29="",0,I29)&gt;$C29)=TRUE))</formula>
    </cfRule>
  </conditionalFormatting>
  <conditionalFormatting sqref="I30:J30">
    <cfRule type="expression" dxfId="178" priority="42">
      <formula>(AND(ISNUMBER($C30),(IF(I30="",0,I30)&gt;$C30)=TRUE))</formula>
    </cfRule>
  </conditionalFormatting>
  <conditionalFormatting sqref="H30">
    <cfRule type="expression" dxfId="177" priority="41">
      <formula>(AND(ISNUMBER($C30),(IF(H30="",0,H30)&gt;$C30)=TRUE))</formula>
    </cfRule>
  </conditionalFormatting>
  <conditionalFormatting sqref="G30">
    <cfRule type="expression" dxfId="176" priority="40">
      <formula>(AND(ISNUMBER($C30),(IF(G30="",0,G30)&gt;$C30)=TRUE))</formula>
    </cfRule>
  </conditionalFormatting>
  <conditionalFormatting sqref="F30">
    <cfRule type="expression" dxfId="175" priority="39">
      <formula>(AND(ISNUMBER($C30),(IF(F30="",0,F30)&gt;$C30)=TRUE))</formula>
    </cfRule>
  </conditionalFormatting>
  <conditionalFormatting sqref="E30">
    <cfRule type="expression" dxfId="174" priority="38">
      <formula>(AND(ISNUMBER($C30),(IF(E30="",0,E30)&gt;$C30)=TRUE))</formula>
    </cfRule>
  </conditionalFormatting>
  <conditionalFormatting sqref="D30">
    <cfRule type="expression" dxfId="173" priority="37">
      <formula>(AND(ISNUMBER($C30),(IF(D30="",0,D30)&gt;$C30)=TRUE))</formula>
    </cfRule>
  </conditionalFormatting>
  <conditionalFormatting sqref="D31">
    <cfRule type="expression" dxfId="172" priority="36">
      <formula>(AND(ISNUMBER($C31),(IF(D31="",0,D31)&gt;$C31)=TRUE))</formula>
    </cfRule>
  </conditionalFormatting>
  <conditionalFormatting sqref="E31">
    <cfRule type="expression" dxfId="171" priority="35">
      <formula>(AND(ISNUMBER($C31),(IF(E31="",0,E31)&gt;$C31)=TRUE))</formula>
    </cfRule>
  </conditionalFormatting>
  <conditionalFormatting sqref="F31">
    <cfRule type="expression" dxfId="170" priority="34">
      <formula>(AND(ISNUMBER($C31),(IF(F31="",0,F31)&gt;$C31)=TRUE))</formula>
    </cfRule>
  </conditionalFormatting>
  <conditionalFormatting sqref="G31">
    <cfRule type="expression" dxfId="169" priority="33">
      <formula>(AND(ISNUMBER($C31),(IF(G31="",0,G31)&gt;$C31)=TRUE))</formula>
    </cfRule>
  </conditionalFormatting>
  <conditionalFormatting sqref="H31">
    <cfRule type="expression" dxfId="168" priority="32">
      <formula>(AND(ISNUMBER($C31),(IF(H31="",0,H31)&gt;$C31)=TRUE))</formula>
    </cfRule>
  </conditionalFormatting>
  <conditionalFormatting sqref="I31:J31">
    <cfRule type="expression" dxfId="167" priority="31">
      <formula>(AND(ISNUMBER($C31),(IF(I31="",0,I31)&gt;$C31)=TRUE))</formula>
    </cfRule>
  </conditionalFormatting>
  <conditionalFormatting sqref="D33">
    <cfRule type="expression" dxfId="166" priority="30">
      <formula>(AND(ISNUMBER($C33),(IF(D33="",0,D33)&gt;$C33)=TRUE))</formula>
    </cfRule>
  </conditionalFormatting>
  <conditionalFormatting sqref="E33">
    <cfRule type="expression" dxfId="165" priority="29">
      <formula>(AND(ISNUMBER($C33),(IF(E33="",0,E33)&gt;$C33)=TRUE))</formula>
    </cfRule>
  </conditionalFormatting>
  <conditionalFormatting sqref="F33">
    <cfRule type="expression" dxfId="164" priority="28">
      <formula>(AND(ISNUMBER($C33),(IF(F33="",0,F33)&gt;$C33)=TRUE))</formula>
    </cfRule>
  </conditionalFormatting>
  <conditionalFormatting sqref="G33">
    <cfRule type="expression" dxfId="163" priority="27">
      <formula>(AND(ISNUMBER($C33),(IF(G33="",0,G33)&gt;$C33)=TRUE))</formula>
    </cfRule>
  </conditionalFormatting>
  <conditionalFormatting sqref="H33">
    <cfRule type="expression" dxfId="162" priority="26">
      <formula>(AND(ISNUMBER($C33),(IF(H33="",0,H33)&gt;$C33)=TRUE))</formula>
    </cfRule>
  </conditionalFormatting>
  <conditionalFormatting sqref="I33:J33">
    <cfRule type="expression" dxfId="161" priority="25">
      <formula>(AND(ISNUMBER($C33),(IF(I33="",0,I33)&gt;$C33)=TRUE))</formula>
    </cfRule>
  </conditionalFormatting>
  <conditionalFormatting sqref="I34:J34">
    <cfRule type="expression" dxfId="160" priority="24">
      <formula>(AND(ISNUMBER($C34),(IF(I34="",0,I34)&gt;$C34)=TRUE))</formula>
    </cfRule>
  </conditionalFormatting>
  <conditionalFormatting sqref="H34">
    <cfRule type="expression" dxfId="159" priority="23">
      <formula>(AND(ISNUMBER($C34),(IF(H34="",0,H34)&gt;$C34)=TRUE))</formula>
    </cfRule>
  </conditionalFormatting>
  <conditionalFormatting sqref="G34">
    <cfRule type="expression" dxfId="158" priority="22">
      <formula>(AND(ISNUMBER($C34),(IF(G34="",0,G34)&gt;$C34)=TRUE))</formula>
    </cfRule>
  </conditionalFormatting>
  <conditionalFormatting sqref="F34">
    <cfRule type="expression" dxfId="157" priority="21">
      <formula>(AND(ISNUMBER($C34),(IF(F34="",0,F34)&gt;$C34)=TRUE))</formula>
    </cfRule>
  </conditionalFormatting>
  <conditionalFormatting sqref="E34">
    <cfRule type="expression" dxfId="156" priority="20">
      <formula>(AND(ISNUMBER($C34),(IF(E34="",0,E34)&gt;$C34)=TRUE))</formula>
    </cfRule>
  </conditionalFormatting>
  <conditionalFormatting sqref="D34">
    <cfRule type="expression" dxfId="155" priority="19">
      <formula>(AND(ISNUMBER($C34),(IF(D34="",0,D34)&gt;$C34)=TRUE))</formula>
    </cfRule>
  </conditionalFormatting>
  <conditionalFormatting sqref="D35">
    <cfRule type="expression" dxfId="154" priority="18">
      <formula>(AND(ISNUMBER($C35),(IF(D35="",0,D35)&gt;$C35)=TRUE))</formula>
    </cfRule>
  </conditionalFormatting>
  <conditionalFormatting sqref="E35">
    <cfRule type="expression" dxfId="153" priority="17">
      <formula>(AND(ISNUMBER($C35),(IF(E35="",0,E35)&gt;$C35)=TRUE))</formula>
    </cfRule>
  </conditionalFormatting>
  <conditionalFormatting sqref="F35">
    <cfRule type="expression" dxfId="152" priority="16">
      <formula>(AND(ISNUMBER($C35),(IF(F35="",0,F35)&gt;$C35)=TRUE))</formula>
    </cfRule>
  </conditionalFormatting>
  <conditionalFormatting sqref="G35">
    <cfRule type="expression" dxfId="151" priority="15">
      <formula>(AND(ISNUMBER($C35),(IF(G35="",0,G35)&gt;$C35)=TRUE))</formula>
    </cfRule>
  </conditionalFormatting>
  <conditionalFormatting sqref="H35">
    <cfRule type="expression" dxfId="150" priority="14">
      <formula>(AND(ISNUMBER($C35),(IF(H35="",0,H35)&gt;$C35)=TRUE))</formula>
    </cfRule>
  </conditionalFormatting>
  <conditionalFormatting sqref="I35:J35">
    <cfRule type="expression" dxfId="149" priority="13">
      <formula>(AND(ISNUMBER($C35),(IF(I35="",0,I35)&gt;$C35)=TRUE))</formula>
    </cfRule>
  </conditionalFormatting>
  <conditionalFormatting sqref="I36:J36">
    <cfRule type="expression" dxfId="148" priority="12">
      <formula>(AND(ISNUMBER($C36),(IF(I36="",0,I36)&gt;$C36)=TRUE))</formula>
    </cfRule>
  </conditionalFormatting>
  <conditionalFormatting sqref="H36">
    <cfRule type="expression" dxfId="147" priority="11">
      <formula>(AND(ISNUMBER($C36),(IF(H36="",0,H36)&gt;$C36)=TRUE))</formula>
    </cfRule>
  </conditionalFormatting>
  <conditionalFormatting sqref="G36">
    <cfRule type="expression" dxfId="146" priority="10">
      <formula>(AND(ISNUMBER($C36),(IF(G36="",0,G36)&gt;$C36)=TRUE))</formula>
    </cfRule>
  </conditionalFormatting>
  <conditionalFormatting sqref="F36">
    <cfRule type="expression" dxfId="145" priority="9">
      <formula>(AND(ISNUMBER($C36),(IF(F36="",0,F36)&gt;$C36)=TRUE))</formula>
    </cfRule>
  </conditionalFormatting>
  <conditionalFormatting sqref="E36">
    <cfRule type="expression" dxfId="144" priority="8">
      <formula>(AND(ISNUMBER($C36),(IF(E36="",0,E36)&gt;$C36)=TRUE))</formula>
    </cfRule>
  </conditionalFormatting>
  <conditionalFormatting sqref="D36">
    <cfRule type="expression" dxfId="143" priority="7">
      <formula>(AND(ISNUMBER($C36),(IF(D36="",0,D36)&gt;$C36)=TRUE))</formula>
    </cfRule>
  </conditionalFormatting>
  <conditionalFormatting sqref="D37">
    <cfRule type="expression" dxfId="142" priority="6">
      <formula>(AND(ISNUMBER($C37),(IF(D37="",0,D37)&gt;$C37)=TRUE))</formula>
    </cfRule>
  </conditionalFormatting>
  <conditionalFormatting sqref="E37">
    <cfRule type="expression" dxfId="141" priority="5">
      <formula>(AND(ISNUMBER($C37),(IF(E37="",0,E37)&gt;$C37)=TRUE))</formula>
    </cfRule>
  </conditionalFormatting>
  <conditionalFormatting sqref="F37">
    <cfRule type="expression" dxfId="140" priority="4">
      <formula>(AND(ISNUMBER($C37),(IF(F37="",0,F37)&gt;$C37)=TRUE))</formula>
    </cfRule>
  </conditionalFormatting>
  <conditionalFormatting sqref="G37">
    <cfRule type="expression" dxfId="139" priority="3">
      <formula>(AND(ISNUMBER($C37),(IF(G37="",0,G37)&gt;$C37)=TRUE))</formula>
    </cfRule>
  </conditionalFormatting>
  <conditionalFormatting sqref="H37">
    <cfRule type="expression" dxfId="138" priority="2">
      <formula>(AND(ISNUMBER($C37),(IF(H37="",0,H37)&gt;$C37)=TRUE))</formula>
    </cfRule>
  </conditionalFormatting>
  <conditionalFormatting sqref="I37:J37">
    <cfRule type="expression" dxfId="137" priority="1">
      <formula>(AND(ISNUMBER($C37),(IF(I37="",0,I37)&gt;$C37)=TRUE))</formula>
    </cfRule>
  </conditionalFormatting>
  <pageMargins left="0.25" right="0.25" top="0.75" bottom="0.75" header="0.3" footer="0.3"/>
  <pageSetup scale="2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CO">
    <tabColor rgb="FF92D050"/>
    <pageSetUpPr fitToPage="1"/>
  </sheetPr>
  <dimension ref="A1:U145"/>
  <sheetViews>
    <sheetView showGridLines="0" topLeftCell="A4" zoomScale="60" zoomScaleNormal="60" workbookViewId="0">
      <selection activeCell="B38" sqref="B38"/>
    </sheetView>
  </sheetViews>
  <sheetFormatPr defaultColWidth="0" defaultRowHeight="14.5" zeroHeight="1" x14ac:dyDescent="0.35"/>
  <cols>
    <col min="1" max="1" width="9.1796875" style="50" customWidth="1"/>
    <col min="2" max="12" width="20.54296875" style="16" customWidth="1"/>
    <col min="13" max="13" width="9.1796875" style="50" hidden="1" customWidth="1"/>
    <col min="14" max="16" width="9.1796875" style="50" customWidth="1"/>
    <col min="17" max="17" width="11" style="16" hidden="1" customWidth="1"/>
    <col min="18" max="21" width="0" style="16" hidden="1" customWidth="1"/>
    <col min="22" max="16384" width="9.1796875" style="16" hidden="1"/>
  </cols>
  <sheetData>
    <row r="1" spans="1:16" s="50" customFormat="1" ht="40.5" customHeight="1" x14ac:dyDescent="0.5">
      <c r="B1" s="417" t="s">
        <v>78</v>
      </c>
      <c r="C1" s="417"/>
    </row>
    <row r="2" spans="1:16" s="50" customFormat="1" ht="21" x14ac:dyDescent="0.35">
      <c r="B2" s="97"/>
      <c r="C2" s="98" t="s">
        <v>2</v>
      </c>
      <c r="D2" s="176"/>
      <c r="E2" s="51"/>
      <c r="G2" s="51"/>
      <c r="H2" s="52"/>
      <c r="J2" s="51"/>
      <c r="K2" s="51"/>
    </row>
    <row r="3" spans="1:16" s="50" customFormat="1" ht="20.149999999999999" customHeight="1" x14ac:dyDescent="0.35">
      <c r="B3" s="99" t="s">
        <v>33</v>
      </c>
      <c r="C3" s="100">
        <v>44064</v>
      </c>
      <c r="D3" s="176"/>
      <c r="E3" s="53"/>
      <c r="G3" s="51"/>
      <c r="H3" s="54"/>
      <c r="J3" s="51"/>
      <c r="K3" s="51"/>
      <c r="L3" s="85"/>
    </row>
    <row r="4" spans="1:16" s="50" customFormat="1" ht="20.149999999999999" customHeight="1" thickBot="1" x14ac:dyDescent="0.4">
      <c r="B4" s="99" t="s">
        <v>34</v>
      </c>
      <c r="C4" s="100">
        <v>44064</v>
      </c>
      <c r="D4" s="176"/>
      <c r="E4" s="53"/>
    </row>
    <row r="5" spans="1:16" s="50" customFormat="1" ht="22" thickTop="1" thickBot="1" x14ac:dyDescent="0.4">
      <c r="B5" s="461" t="s">
        <v>81</v>
      </c>
      <c r="C5" s="462"/>
      <c r="D5" s="462"/>
      <c r="E5" s="462"/>
      <c r="F5" s="462"/>
      <c r="G5" s="462"/>
      <c r="H5" s="462"/>
      <c r="I5" s="462"/>
      <c r="J5" s="462"/>
      <c r="K5" s="462"/>
      <c r="L5" s="463"/>
    </row>
    <row r="6" spans="1:16" s="14" customFormat="1" ht="15" thickTop="1" x14ac:dyDescent="0.35">
      <c r="A6" s="50"/>
      <c r="B6" s="464" t="s">
        <v>21</v>
      </c>
      <c r="C6" s="465"/>
      <c r="D6" s="465"/>
      <c r="E6" s="465"/>
      <c r="F6" s="465"/>
      <c r="G6" s="465"/>
      <c r="H6" s="465"/>
      <c r="I6" s="465"/>
      <c r="J6" s="465"/>
      <c r="K6" s="465"/>
      <c r="L6" s="466"/>
      <c r="M6" s="95"/>
      <c r="N6" s="95"/>
      <c r="O6" s="50"/>
      <c r="P6" s="50"/>
    </row>
    <row r="7" spans="1:16" s="14" customFormat="1" x14ac:dyDescent="0.35">
      <c r="A7" s="50"/>
      <c r="B7" s="446"/>
      <c r="C7" s="447"/>
      <c r="D7" s="447"/>
      <c r="E7" s="447"/>
      <c r="F7" s="447"/>
      <c r="G7" s="447"/>
      <c r="H7" s="447"/>
      <c r="I7" s="447"/>
      <c r="J7" s="447"/>
      <c r="K7" s="447"/>
      <c r="L7" s="448"/>
      <c r="M7" s="59"/>
      <c r="N7" s="59"/>
      <c r="O7" s="50"/>
      <c r="P7" s="50"/>
    </row>
    <row r="8" spans="1:16" s="14" customFormat="1" x14ac:dyDescent="0.35">
      <c r="A8" s="50"/>
      <c r="B8" s="449"/>
      <c r="C8" s="450"/>
      <c r="D8" s="450"/>
      <c r="E8" s="450"/>
      <c r="F8" s="450"/>
      <c r="G8" s="450"/>
      <c r="H8" s="450"/>
      <c r="I8" s="450"/>
      <c r="J8" s="450"/>
      <c r="K8" s="450"/>
      <c r="L8" s="451"/>
      <c r="M8" s="59"/>
      <c r="N8" s="59"/>
      <c r="O8" s="50"/>
      <c r="P8" s="50"/>
    </row>
    <row r="9" spans="1:16" s="14" customFormat="1" x14ac:dyDescent="0.35">
      <c r="A9" s="50"/>
      <c r="B9" s="452"/>
      <c r="C9" s="453"/>
      <c r="D9" s="453"/>
      <c r="E9" s="453"/>
      <c r="F9" s="453"/>
      <c r="G9" s="453"/>
      <c r="H9" s="453"/>
      <c r="I9" s="453"/>
      <c r="J9" s="453"/>
      <c r="K9" s="453"/>
      <c r="L9" s="454"/>
      <c r="M9" s="59"/>
      <c r="N9" s="59"/>
      <c r="O9" s="50"/>
      <c r="P9" s="50"/>
    </row>
    <row r="10" spans="1:16" s="14" customFormat="1" ht="37.5" customHeight="1" x14ac:dyDescent="0.35">
      <c r="A10" s="50"/>
      <c r="B10" s="103"/>
      <c r="C10" s="93"/>
      <c r="D10" s="182"/>
      <c r="E10" s="182"/>
      <c r="F10" s="182"/>
      <c r="G10" s="182"/>
      <c r="H10" s="94"/>
      <c r="I10" s="182"/>
      <c r="J10" s="182"/>
      <c r="K10" s="182"/>
      <c r="L10" s="183"/>
      <c r="M10" s="59"/>
      <c r="N10" s="59"/>
      <c r="O10" s="50"/>
      <c r="P10" s="50"/>
    </row>
    <row r="11" spans="1:16" s="14" customFormat="1" ht="15" customHeight="1" x14ac:dyDescent="0.35">
      <c r="A11" s="50"/>
      <c r="B11" s="87"/>
      <c r="C11" s="4" t="s">
        <v>35</v>
      </c>
      <c r="D11" s="5">
        <v>0.25</v>
      </c>
      <c r="E11" s="5">
        <f>D11+1/24</f>
        <v>0.29166666666666669</v>
      </c>
      <c r="F11" s="5">
        <f t="shared" ref="F11:J11" si="0">E11+1/24</f>
        <v>0.33333333333333337</v>
      </c>
      <c r="G11" s="5">
        <f>F11+1/24</f>
        <v>0.37500000000000006</v>
      </c>
      <c r="H11" s="5">
        <f t="shared" si="0"/>
        <v>0.41666666666666674</v>
      </c>
      <c r="I11" s="5">
        <f t="shared" si="0"/>
        <v>0.45833333333333343</v>
      </c>
      <c r="J11" s="5">
        <f t="shared" si="0"/>
        <v>0.50000000000000011</v>
      </c>
      <c r="K11" s="5">
        <v>0.54166666666666663</v>
      </c>
      <c r="L11" s="88" t="s">
        <v>4</v>
      </c>
      <c r="M11" s="187"/>
      <c r="N11" s="187"/>
      <c r="O11" s="50"/>
      <c r="P11" s="50"/>
    </row>
    <row r="12" spans="1:16" s="14" customFormat="1" ht="15" customHeight="1" x14ac:dyDescent="0.35">
      <c r="A12" s="50"/>
      <c r="B12" s="104"/>
      <c r="C12" s="458"/>
      <c r="D12" s="459"/>
      <c r="E12" s="459"/>
      <c r="F12" s="459"/>
      <c r="G12" s="459"/>
      <c r="H12" s="459"/>
      <c r="I12" s="459"/>
      <c r="J12" s="459"/>
      <c r="K12" s="459"/>
      <c r="L12" s="460"/>
      <c r="M12" s="187"/>
      <c r="N12" s="187"/>
      <c r="O12" s="50"/>
      <c r="P12" s="50"/>
    </row>
    <row r="13" spans="1:16" s="14" customFormat="1" ht="15" customHeight="1" thickBot="1" x14ac:dyDescent="0.4">
      <c r="A13" s="50"/>
      <c r="B13" s="105" t="s">
        <v>37</v>
      </c>
      <c r="C13" s="101"/>
      <c r="D13" s="109">
        <v>1</v>
      </c>
      <c r="E13" s="109">
        <v>1</v>
      </c>
      <c r="F13" s="109">
        <v>1</v>
      </c>
      <c r="G13" s="109">
        <v>1</v>
      </c>
      <c r="H13" s="109">
        <v>1</v>
      </c>
      <c r="I13" s="109">
        <v>1</v>
      </c>
      <c r="J13" s="109">
        <v>1</v>
      </c>
      <c r="K13" s="109">
        <v>1</v>
      </c>
      <c r="L13" s="110">
        <f>SUM(D13:K13)</f>
        <v>8</v>
      </c>
      <c r="M13" s="187"/>
      <c r="N13" s="187"/>
      <c r="O13" s="50"/>
      <c r="P13" s="50"/>
    </row>
    <row r="14" spans="1:16" s="112" customFormat="1" ht="15.65" customHeight="1" thickBot="1" x14ac:dyDescent="0.4">
      <c r="A14" s="111"/>
      <c r="B14" s="256" t="s">
        <v>76</v>
      </c>
      <c r="C14" s="455" t="s">
        <v>76</v>
      </c>
      <c r="D14" s="456"/>
      <c r="E14" s="456"/>
      <c r="F14" s="456"/>
      <c r="G14" s="456"/>
      <c r="H14" s="456"/>
      <c r="I14" s="456"/>
      <c r="J14" s="456"/>
      <c r="K14" s="456"/>
      <c r="L14" s="457"/>
      <c r="M14" s="188"/>
      <c r="N14" s="188"/>
      <c r="O14" s="111"/>
      <c r="P14" s="111"/>
    </row>
    <row r="15" spans="1:16" s="14" customFormat="1" ht="15" customHeight="1" x14ac:dyDescent="0.35">
      <c r="A15" s="59"/>
      <c r="B15" s="106" t="s">
        <v>38</v>
      </c>
      <c r="C15" s="142">
        <f>IFERROR(A15/L13,0)</f>
        <v>0</v>
      </c>
      <c r="D15" s="257">
        <f>(($D13/$L$13) * $A$15)</f>
        <v>0</v>
      </c>
      <c r="E15" s="170">
        <f t="shared" ref="E15:K15" si="1">(($D13/$L$13) * $A$15)</f>
        <v>0</v>
      </c>
      <c r="F15" s="170">
        <f t="shared" si="1"/>
        <v>0</v>
      </c>
      <c r="G15" s="170">
        <f t="shared" si="1"/>
        <v>0</v>
      </c>
      <c r="H15" s="170">
        <f t="shared" si="1"/>
        <v>0</v>
      </c>
      <c r="I15" s="170">
        <f t="shared" si="1"/>
        <v>0</v>
      </c>
      <c r="J15" s="170">
        <f t="shared" si="1"/>
        <v>0</v>
      </c>
      <c r="K15" s="270">
        <f t="shared" si="1"/>
        <v>0</v>
      </c>
      <c r="L15" s="272">
        <f>SUM(D15:J15)</f>
        <v>0</v>
      </c>
      <c r="M15" s="187"/>
      <c r="N15" s="187"/>
      <c r="O15" s="50"/>
      <c r="P15" s="50"/>
    </row>
    <row r="16" spans="1:16" s="14" customFormat="1" ht="15" customHeight="1" x14ac:dyDescent="0.35">
      <c r="A16" s="50"/>
      <c r="B16" s="107" t="s">
        <v>39</v>
      </c>
      <c r="C16" s="143"/>
      <c r="D16" s="257">
        <f ca="1">IFERROR(IF(SUMIF(INDIRECT("PPA."&amp;HOUR(D$11)&amp;"!$C:$C"),"Pick &amp; Stage",INDIRECT("PPA."&amp;HOUR(D$11)&amp;"!$G:$G"))=0,"",SUMIF(INDIRECT("PPA."&amp;HOUR(D$11)&amp;"!$C:$C"),"Pick &amp; Stage",INDIRECT("PPA."&amp;HOUR(D$11)&amp;"!$G:$G"))),"")</f>
        <v>42462</v>
      </c>
      <c r="E16" s="257" t="str">
        <f t="shared" ref="E16:K16" ca="1" si="2">IFERROR(IF(SUMIF(INDIRECT("PPA."&amp;HOUR(E$11)&amp;"!$C:$C"),"Pick &amp; Stage",INDIRECT("PPA."&amp;HOUR(E$11)&amp;"!$G:$G"))=0,"",SUMIF(INDIRECT("PPA."&amp;HOUR(E$11)&amp;"!$C:$C"),"Pick &amp; Stage",INDIRECT("PPA."&amp;HOUR(E$11)&amp;"!$G:$G"))),"")</f>
        <v/>
      </c>
      <c r="F16" s="257" t="str">
        <f t="shared" ca="1" si="2"/>
        <v/>
      </c>
      <c r="G16" s="257" t="str">
        <f t="shared" ca="1" si="2"/>
        <v/>
      </c>
      <c r="H16" s="257" t="str">
        <f t="shared" ca="1" si="2"/>
        <v/>
      </c>
      <c r="I16" s="257">
        <f t="shared" ca="1" si="2"/>
        <v>11856</v>
      </c>
      <c r="J16" s="257" t="str">
        <f t="shared" ca="1" si="2"/>
        <v/>
      </c>
      <c r="K16" s="257" t="str">
        <f t="shared" ca="1" si="2"/>
        <v/>
      </c>
      <c r="L16" s="273">
        <f t="shared" ref="L16:L25" ca="1" si="3">SUM(D16:J16)</f>
        <v>54318</v>
      </c>
      <c r="M16" s="187">
        <v>100020</v>
      </c>
      <c r="N16" s="187"/>
      <c r="O16" s="50"/>
      <c r="P16" s="50"/>
    </row>
    <row r="17" spans="1:18" s="14" customFormat="1" ht="15" customHeight="1" x14ac:dyDescent="0.35">
      <c r="A17" s="50"/>
      <c r="B17" s="108" t="s">
        <v>3</v>
      </c>
      <c r="C17" s="266"/>
      <c r="D17" s="258">
        <f t="shared" ref="D17:J17" ca="1" si="4">IFERROR(IF(D16="","",D16-D15),"")</f>
        <v>42462</v>
      </c>
      <c r="E17" s="29" t="str">
        <f t="shared" ca="1" si="4"/>
        <v/>
      </c>
      <c r="F17" s="173" t="str">
        <f t="shared" ca="1" si="4"/>
        <v/>
      </c>
      <c r="G17" s="29" t="str">
        <f t="shared" ca="1" si="4"/>
        <v/>
      </c>
      <c r="H17" s="173" t="str">
        <f t="shared" ca="1" si="4"/>
        <v/>
      </c>
      <c r="I17" s="29">
        <f t="shared" ca="1" si="4"/>
        <v>11856</v>
      </c>
      <c r="J17" s="173" t="str">
        <f t="shared" ca="1" si="4"/>
        <v/>
      </c>
      <c r="K17" s="29" t="str">
        <f t="shared" ref="K17" ca="1" si="5">IFERROR(IF(K16="","",K16-K15),"")</f>
        <v/>
      </c>
      <c r="L17" s="274">
        <f t="shared" ca="1" si="3"/>
        <v>54318</v>
      </c>
      <c r="M17" s="187"/>
      <c r="N17" s="187"/>
      <c r="O17" s="50"/>
      <c r="P17" s="50"/>
    </row>
    <row r="18" spans="1:18" s="14" customFormat="1" ht="15" customHeight="1" x14ac:dyDescent="0.35">
      <c r="A18" s="50"/>
      <c r="B18" s="107" t="s">
        <v>40</v>
      </c>
      <c r="C18" s="143"/>
      <c r="D18" s="257">
        <f>D15</f>
        <v>0</v>
      </c>
      <c r="E18" s="28">
        <f>D18+E15</f>
        <v>0</v>
      </c>
      <c r="F18" s="170">
        <f t="shared" ref="F18:K18" si="6">E18+F15</f>
        <v>0</v>
      </c>
      <c r="G18" s="28">
        <f t="shared" si="6"/>
        <v>0</v>
      </c>
      <c r="H18" s="170">
        <f t="shared" si="6"/>
        <v>0</v>
      </c>
      <c r="I18" s="28">
        <f t="shared" si="6"/>
        <v>0</v>
      </c>
      <c r="J18" s="170">
        <f t="shared" si="6"/>
        <v>0</v>
      </c>
      <c r="K18" s="28">
        <f t="shared" si="6"/>
        <v>0</v>
      </c>
      <c r="L18" s="273"/>
      <c r="M18" s="187"/>
      <c r="N18" s="187"/>
      <c r="O18" s="50"/>
      <c r="P18" s="50"/>
    </row>
    <row r="19" spans="1:18" s="14" customFormat="1" ht="15" customHeight="1" x14ac:dyDescent="0.35">
      <c r="A19" s="50"/>
      <c r="B19" s="107" t="s">
        <v>41</v>
      </c>
      <c r="C19" s="143"/>
      <c r="D19" s="257">
        <f ca="1">IF(D16="","",SUM(D$16:$E16))</f>
        <v>42462</v>
      </c>
      <c r="E19" s="28" t="str">
        <f ca="1">IF(E16="","",SUM($E$16:E16))</f>
        <v/>
      </c>
      <c r="F19" s="170" t="str">
        <f ca="1">IF(F16="","",SUM($E$16:F16))</f>
        <v/>
      </c>
      <c r="G19" s="28" t="str">
        <f ca="1">IF(G16="","",SUM($E$16:G16))</f>
        <v/>
      </c>
      <c r="H19" s="170" t="str">
        <f ca="1">IF(H16="","",SUM($E$16:H16))</f>
        <v/>
      </c>
      <c r="I19" s="28">
        <f ca="1">IF(I16="","",SUM($E$16:I16))</f>
        <v>11856</v>
      </c>
      <c r="J19" s="170" t="str">
        <f ca="1">IF(J16="","",SUM($E$16:J16))</f>
        <v/>
      </c>
      <c r="K19" s="28" t="str">
        <f ca="1">IF(K16="","",SUM($E$16:K16))</f>
        <v/>
      </c>
      <c r="L19" s="273">
        <f t="shared" ca="1" si="3"/>
        <v>54318</v>
      </c>
      <c r="M19" s="187"/>
      <c r="N19" s="187"/>
      <c r="O19" s="50"/>
      <c r="P19" s="50"/>
    </row>
    <row r="20" spans="1:18" s="14" customFormat="1" ht="15" customHeight="1" thickBot="1" x14ac:dyDescent="0.4">
      <c r="A20" s="50"/>
      <c r="B20" s="108" t="s">
        <v>3</v>
      </c>
      <c r="C20" s="267"/>
      <c r="D20" s="259">
        <f t="shared" ref="D20:J20" ca="1" si="7">IFERROR(IF(D19="","",D19-D18),"")</f>
        <v>42462</v>
      </c>
      <c r="E20" s="175" t="str">
        <f t="shared" ca="1" si="7"/>
        <v/>
      </c>
      <c r="F20" s="174" t="str">
        <f t="shared" ca="1" si="7"/>
        <v/>
      </c>
      <c r="G20" s="175" t="str">
        <f t="shared" ca="1" si="7"/>
        <v/>
      </c>
      <c r="H20" s="174" t="str">
        <f t="shared" ca="1" si="7"/>
        <v/>
      </c>
      <c r="I20" s="175">
        <f t="shared" ca="1" si="7"/>
        <v>11856</v>
      </c>
      <c r="J20" s="174" t="str">
        <f t="shared" ca="1" si="7"/>
        <v/>
      </c>
      <c r="K20" s="175" t="str">
        <f t="shared" ref="K20" ca="1" si="8">IFERROR(IF(K19="","",K19-K18),"")</f>
        <v/>
      </c>
      <c r="L20" s="276">
        <f t="shared" ca="1" si="3"/>
        <v>54318</v>
      </c>
      <c r="M20" s="187"/>
      <c r="N20" s="187"/>
      <c r="O20" s="50"/>
      <c r="P20" s="50"/>
    </row>
    <row r="21" spans="1:18" s="14" customFormat="1" ht="15" customHeight="1" thickBot="1" x14ac:dyDescent="0.4">
      <c r="A21" s="50"/>
      <c r="B21" s="255" t="s">
        <v>77</v>
      </c>
      <c r="C21" s="443" t="s">
        <v>77</v>
      </c>
      <c r="D21" s="444"/>
      <c r="E21" s="444"/>
      <c r="F21" s="444"/>
      <c r="G21" s="444"/>
      <c r="H21" s="444"/>
      <c r="I21" s="444"/>
      <c r="J21" s="444"/>
      <c r="K21" s="444"/>
      <c r="L21" s="445"/>
      <c r="M21" s="187"/>
      <c r="N21" s="187"/>
      <c r="O21" s="50"/>
      <c r="P21" s="50"/>
    </row>
    <row r="22" spans="1:18" s="14" customFormat="1" ht="15" customHeight="1" x14ac:dyDescent="0.35">
      <c r="A22" s="50"/>
      <c r="B22" s="106" t="s">
        <v>42</v>
      </c>
      <c r="C22" s="142"/>
      <c r="D22" s="257">
        <f t="shared" ref="D22:K22" ca="1" si="9">IFERROR(IF(SUMIF(INDIRECT("PPA."&amp;HOUR(D$11)&amp;"!$D:$D"),$M22,INDIRECT("PPA."&amp;HOUR(D$11)&amp;"!$F:$F"))=0,"",SUMIF(INDIRECT("PPA."&amp;HOUR(D$11)&amp;"!$D:$D"),$M22,INDIRECT("PPA."&amp;HOUR(D$11)&amp;"!$F:$F"))),"")</f>
        <v>19414</v>
      </c>
      <c r="E22" s="28" t="str">
        <f t="shared" ca="1" si="9"/>
        <v/>
      </c>
      <c r="F22" s="170" t="str">
        <f t="shared" ca="1" si="9"/>
        <v/>
      </c>
      <c r="G22" s="28" t="str">
        <f t="shared" ca="1" si="9"/>
        <v/>
      </c>
      <c r="H22" s="170" t="str">
        <f ca="1">IFERROR(IF(SUMIF(INDIRECT("PPA."&amp;HOUR(H$11)&amp;"!$D:$D"),$M22,INDIRECT("PPA."&amp;HOUR(H$11)&amp;"!$F:$F"))=0,"",SUMIF(INDIRECT("PPA."&amp;HOUR(H$11)&amp;"!$D:$D"),$M22,INDIRECT("PPA."&amp;HOUR(H$11)&amp;"!$F:$F"))),"")</f>
        <v/>
      </c>
      <c r="I22" s="28" t="str">
        <f t="shared" ca="1" si="9"/>
        <v/>
      </c>
      <c r="J22" s="170" t="str">
        <f t="shared" ca="1" si="9"/>
        <v/>
      </c>
      <c r="K22" s="28" t="str">
        <f t="shared" ca="1" si="9"/>
        <v/>
      </c>
      <c r="L22" s="272">
        <f t="shared" ca="1" si="3"/>
        <v>19414</v>
      </c>
      <c r="M22" s="187">
        <v>100440</v>
      </c>
      <c r="N22" s="187"/>
      <c r="O22" s="83"/>
      <c r="P22" s="83"/>
      <c r="Q22" s="15"/>
      <c r="R22" s="15"/>
    </row>
    <row r="23" spans="1:18" s="14" customFormat="1" ht="15" customHeight="1" thickBot="1" x14ac:dyDescent="0.4">
      <c r="A23" s="50"/>
      <c r="B23" s="107" t="s">
        <v>41</v>
      </c>
      <c r="C23" s="143"/>
      <c r="D23" s="257">
        <f ca="1">IF(OR(D22=0,D22=""),"",SUM(D22:$E$22))</f>
        <v>19414</v>
      </c>
      <c r="E23" s="28" t="str">
        <f ca="1">IF(OR(E22=0,E22=""),"",SUM($E22:E$22))</f>
        <v/>
      </c>
      <c r="F23" s="170" t="str">
        <f ca="1">IF(OR(F22=0,F22=""),"",SUM($E22:F$22))</f>
        <v/>
      </c>
      <c r="G23" s="28" t="str">
        <f ca="1">IF(OR(G22=0,G22=""),"",SUM($E22:G$22))</f>
        <v/>
      </c>
      <c r="H23" s="170" t="str">
        <f ca="1">IF(OR(H22=0,H22=""),"",SUM($E22:H$22))</f>
        <v/>
      </c>
      <c r="I23" s="28" t="str">
        <f ca="1">IF(OR(I22=0,I22=""),"",SUM($E22:I$22))</f>
        <v/>
      </c>
      <c r="J23" s="170" t="str">
        <f ca="1">IF(OR(J22=0,J22=""),"",SUM($E22:J$22))</f>
        <v/>
      </c>
      <c r="K23" s="28" t="str">
        <f ca="1">IF(OR(K22=0,K22=""),"",SUM($E22:K$22))</f>
        <v/>
      </c>
      <c r="L23" s="273">
        <f t="shared" ca="1" si="3"/>
        <v>19414</v>
      </c>
      <c r="M23" s="187"/>
      <c r="N23" s="187"/>
      <c r="O23" s="83"/>
      <c r="P23" s="83"/>
      <c r="Q23" s="15"/>
      <c r="R23" s="15"/>
    </row>
    <row r="24" spans="1:18" s="14" customFormat="1" ht="15" customHeight="1" thickBot="1" x14ac:dyDescent="0.4">
      <c r="A24" s="50"/>
      <c r="B24" s="254" t="s">
        <v>43</v>
      </c>
      <c r="C24" s="443" t="s">
        <v>43</v>
      </c>
      <c r="D24" s="444"/>
      <c r="E24" s="444"/>
      <c r="F24" s="444"/>
      <c r="G24" s="444"/>
      <c r="H24" s="444"/>
      <c r="I24" s="444"/>
      <c r="J24" s="444"/>
      <c r="K24" s="444"/>
      <c r="L24" s="445"/>
      <c r="M24" s="187"/>
      <c r="N24" s="187"/>
      <c r="O24" s="83"/>
      <c r="P24" s="83"/>
      <c r="Q24" s="15"/>
      <c r="R24" s="15"/>
    </row>
    <row r="25" spans="1:18" s="14" customFormat="1" ht="15" customHeight="1" thickBot="1" x14ac:dyDescent="0.4">
      <c r="A25" s="50"/>
      <c r="B25" s="106" t="s">
        <v>43</v>
      </c>
      <c r="C25" s="142"/>
      <c r="D25" s="257">
        <f ca="1">IFERROR(D19-D23,"")</f>
        <v>23048</v>
      </c>
      <c r="E25" s="28" t="str">
        <f t="shared" ref="E25:K25" ca="1" si="10">IFERROR(E19-E23,"")</f>
        <v/>
      </c>
      <c r="F25" s="170" t="str">
        <f t="shared" ca="1" si="10"/>
        <v/>
      </c>
      <c r="G25" s="28" t="str">
        <f t="shared" ca="1" si="10"/>
        <v/>
      </c>
      <c r="H25" s="170" t="str">
        <f t="shared" ca="1" si="10"/>
        <v/>
      </c>
      <c r="I25" s="28" t="str">
        <f t="shared" ca="1" si="10"/>
        <v/>
      </c>
      <c r="J25" s="170" t="str">
        <f t="shared" ca="1" si="10"/>
        <v/>
      </c>
      <c r="K25" s="28" t="str">
        <f t="shared" ca="1" si="10"/>
        <v/>
      </c>
      <c r="L25" s="272">
        <f t="shared" ca="1" si="3"/>
        <v>23048</v>
      </c>
      <c r="M25" s="187"/>
      <c r="N25" s="187"/>
      <c r="O25" s="50"/>
      <c r="P25" s="83"/>
      <c r="Q25" s="15"/>
      <c r="R25" s="15"/>
    </row>
    <row r="26" spans="1:18" s="14" customFormat="1" ht="15" customHeight="1" thickBot="1" x14ac:dyDescent="0.4">
      <c r="A26" s="50"/>
      <c r="B26" s="254" t="s">
        <v>5</v>
      </c>
      <c r="C26" s="443" t="s">
        <v>5</v>
      </c>
      <c r="D26" s="444"/>
      <c r="E26" s="444"/>
      <c r="F26" s="444"/>
      <c r="G26" s="444"/>
      <c r="H26" s="444"/>
      <c r="I26" s="444"/>
      <c r="J26" s="444"/>
      <c r="K26" s="444"/>
      <c r="L26" s="445"/>
      <c r="M26" s="187"/>
      <c r="N26" s="187"/>
      <c r="O26" s="50"/>
      <c r="P26" s="83"/>
      <c r="Q26" s="15"/>
      <c r="R26" s="15"/>
    </row>
    <row r="27" spans="1:18" s="14" customFormat="1" ht="15" customHeight="1" x14ac:dyDescent="0.35">
      <c r="A27" s="50"/>
      <c r="B27" s="193" t="s">
        <v>60</v>
      </c>
      <c r="C27" s="261"/>
      <c r="D27" s="28">
        <f t="shared" ref="D27:K40" ca="1" si="11">IFERROR(IF(SUMIF(INDIRECT("PPA."&amp;HOUR(D$11)&amp;"!$D:$D"),$M27,INDIRECT("PPA."&amp;HOUR(D$11)&amp;"!$H:$H"))=0,"",SUMIF(INDIRECT("PPA."&amp;HOUR(D$11)&amp;"!$D:$D"),$M27,INDIRECT("PPA."&amp;HOUR(D$11)&amp;"!$H:$H"))),"")</f>
        <v>9.8475000000000001</v>
      </c>
      <c r="E27" s="170" t="str">
        <f t="shared" ca="1" si="11"/>
        <v/>
      </c>
      <c r="F27" s="28" t="str">
        <f t="shared" ca="1" si="11"/>
        <v/>
      </c>
      <c r="G27" s="170" t="str">
        <f t="shared" ca="1" si="11"/>
        <v/>
      </c>
      <c r="H27" s="28" t="str">
        <f t="shared" ca="1" si="11"/>
        <v/>
      </c>
      <c r="I27" s="170" t="str">
        <f t="shared" ca="1" si="11"/>
        <v/>
      </c>
      <c r="J27" s="28" t="str">
        <f t="shared" ca="1" si="11"/>
        <v/>
      </c>
      <c r="K27" s="270" t="str">
        <f t="shared" ca="1" si="11"/>
        <v/>
      </c>
      <c r="L27" s="272">
        <f t="shared" ref="L27:L74" ca="1" si="12">SUM(D27:J27)</f>
        <v>9.8475000000000001</v>
      </c>
      <c r="M27" s="95">
        <v>100405</v>
      </c>
      <c r="N27" s="59"/>
      <c r="O27" s="50"/>
      <c r="P27" s="83"/>
      <c r="Q27" s="15"/>
      <c r="R27" s="15"/>
    </row>
    <row r="28" spans="1:18" s="14" customFormat="1" ht="15" customHeight="1" x14ac:dyDescent="0.35">
      <c r="A28" s="50"/>
      <c r="B28" s="9" t="s">
        <v>85</v>
      </c>
      <c r="C28" s="262"/>
      <c r="D28" s="28">
        <f t="shared" ca="1" si="11"/>
        <v>18.5</v>
      </c>
      <c r="E28" s="170" t="str">
        <f t="shared" ca="1" si="11"/>
        <v/>
      </c>
      <c r="F28" s="28" t="str">
        <f t="shared" ca="1" si="11"/>
        <v/>
      </c>
      <c r="G28" s="170" t="str">
        <f t="shared" ca="1" si="11"/>
        <v/>
      </c>
      <c r="H28" s="28" t="str">
        <f t="shared" ca="1" si="11"/>
        <v/>
      </c>
      <c r="I28" s="170" t="str">
        <f t="shared" ca="1" si="11"/>
        <v/>
      </c>
      <c r="J28" s="28" t="str">
        <f t="shared" ca="1" si="11"/>
        <v/>
      </c>
      <c r="K28" s="270" t="str">
        <f t="shared" ca="1" si="11"/>
        <v/>
      </c>
      <c r="L28" s="273">
        <f t="shared" ca="1" si="12"/>
        <v>18.5</v>
      </c>
      <c r="M28" s="95">
        <v>100400</v>
      </c>
      <c r="N28" s="59"/>
      <c r="O28" s="50"/>
      <c r="P28" s="50"/>
    </row>
    <row r="29" spans="1:18" s="14" customFormat="1" ht="15" customHeight="1" x14ac:dyDescent="0.35">
      <c r="A29" s="50"/>
      <c r="B29" s="9" t="s">
        <v>7</v>
      </c>
      <c r="C29" s="262"/>
      <c r="D29" s="28">
        <f t="shared" ca="1" si="11"/>
        <v>22.048888888888875</v>
      </c>
      <c r="E29" s="170" t="str">
        <f t="shared" ca="1" si="11"/>
        <v/>
      </c>
      <c r="F29" s="28" t="str">
        <f t="shared" ca="1" si="11"/>
        <v/>
      </c>
      <c r="G29" s="170" t="str">
        <f t="shared" ca="1" si="11"/>
        <v/>
      </c>
      <c r="H29" s="28" t="str">
        <f t="shared" ca="1" si="11"/>
        <v/>
      </c>
      <c r="I29" s="170" t="str">
        <f t="shared" ca="1" si="11"/>
        <v/>
      </c>
      <c r="J29" s="28" t="str">
        <f t="shared" ca="1" si="11"/>
        <v/>
      </c>
      <c r="K29" s="270" t="str">
        <f t="shared" ca="1" si="11"/>
        <v/>
      </c>
      <c r="L29" s="273">
        <f t="shared" ca="1" si="12"/>
        <v>22.048888888888875</v>
      </c>
      <c r="M29" s="95">
        <v>100020</v>
      </c>
      <c r="N29" s="59"/>
      <c r="O29" s="50"/>
      <c r="P29" s="50"/>
    </row>
    <row r="30" spans="1:18" s="14" customFormat="1" ht="15" customHeight="1" x14ac:dyDescent="0.35">
      <c r="A30" s="50"/>
      <c r="B30" s="9" t="s">
        <v>20</v>
      </c>
      <c r="C30" s="262"/>
      <c r="D30" s="28">
        <f t="shared" ca="1" si="11"/>
        <v>12.25</v>
      </c>
      <c r="E30" s="170" t="str">
        <f t="shared" ca="1" si="11"/>
        <v/>
      </c>
      <c r="F30" s="28" t="str">
        <f t="shared" ca="1" si="11"/>
        <v/>
      </c>
      <c r="G30" s="170" t="str">
        <f t="shared" ca="1" si="11"/>
        <v/>
      </c>
      <c r="H30" s="28" t="str">
        <f t="shared" ca="1" si="11"/>
        <v/>
      </c>
      <c r="I30" s="170">
        <f t="shared" ca="1" si="11"/>
        <v>8.6111111111111097E-2</v>
      </c>
      <c r="J30" s="28" t="str">
        <f t="shared" ca="1" si="11"/>
        <v/>
      </c>
      <c r="K30" s="270" t="str">
        <f t="shared" ca="1" si="11"/>
        <v/>
      </c>
      <c r="L30" s="273">
        <f t="shared" ca="1" si="12"/>
        <v>12.33611111111111</v>
      </c>
      <c r="M30" s="95">
        <v>100404</v>
      </c>
      <c r="N30" s="59"/>
      <c r="O30" s="50"/>
      <c r="P30" s="50"/>
    </row>
    <row r="31" spans="1:18" s="14" customFormat="1" ht="15" customHeight="1" x14ac:dyDescent="0.35">
      <c r="A31" s="50"/>
      <c r="B31" s="9" t="s">
        <v>9</v>
      </c>
      <c r="C31" s="263"/>
      <c r="D31" s="28">
        <f t="shared" ca="1" si="11"/>
        <v>15.75</v>
      </c>
      <c r="E31" s="170" t="str">
        <f t="shared" ca="1" si="11"/>
        <v/>
      </c>
      <c r="F31" s="28" t="str">
        <f t="shared" ca="1" si="11"/>
        <v/>
      </c>
      <c r="G31" s="170" t="str">
        <f t="shared" ca="1" si="11"/>
        <v/>
      </c>
      <c r="H31" s="28" t="str">
        <f t="shared" ca="1" si="11"/>
        <v/>
      </c>
      <c r="I31" s="170">
        <f t="shared" ca="1" si="11"/>
        <v>8.66666666666666E-2</v>
      </c>
      <c r="J31" s="28" t="str">
        <f t="shared" ca="1" si="11"/>
        <v/>
      </c>
      <c r="K31" s="270" t="str">
        <f t="shared" ca="1" si="11"/>
        <v/>
      </c>
      <c r="L31" s="273">
        <f t="shared" ca="1" si="12"/>
        <v>15.836666666666666</v>
      </c>
      <c r="M31" s="95">
        <v>100460</v>
      </c>
      <c r="N31" s="59"/>
      <c r="O31" s="55"/>
      <c r="P31" s="50"/>
    </row>
    <row r="32" spans="1:18" s="14" customFormat="1" ht="15" customHeight="1" x14ac:dyDescent="0.35">
      <c r="A32" s="50"/>
      <c r="B32" s="11" t="s">
        <v>28</v>
      </c>
      <c r="C32" s="264"/>
      <c r="D32" s="29">
        <f ca="1">SUM(D27:D31)</f>
        <v>78.396388888888879</v>
      </c>
      <c r="E32" s="173">
        <f t="shared" ref="E32:L32" ca="1" si="13">SUM(E27:E31)</f>
        <v>0</v>
      </c>
      <c r="F32" s="29">
        <f t="shared" ca="1" si="13"/>
        <v>0</v>
      </c>
      <c r="G32" s="173">
        <f t="shared" ca="1" si="13"/>
        <v>0</v>
      </c>
      <c r="H32" s="29">
        <f t="shared" ca="1" si="13"/>
        <v>0</v>
      </c>
      <c r="I32" s="173">
        <f t="shared" ca="1" si="13"/>
        <v>0.1727777777777777</v>
      </c>
      <c r="J32" s="29">
        <f t="shared" ca="1" si="13"/>
        <v>0</v>
      </c>
      <c r="K32" s="231">
        <f t="shared" ca="1" si="13"/>
        <v>0</v>
      </c>
      <c r="L32" s="274">
        <f t="shared" ca="1" si="13"/>
        <v>78.569166666666661</v>
      </c>
      <c r="M32" s="95"/>
      <c r="N32" s="59"/>
      <c r="O32" s="55"/>
      <c r="P32" s="50"/>
    </row>
    <row r="33" spans="1:16" s="14" customFormat="1" ht="15" customHeight="1" x14ac:dyDescent="0.35">
      <c r="A33" s="50"/>
      <c r="B33" s="9" t="s">
        <v>1</v>
      </c>
      <c r="C33" s="262"/>
      <c r="D33" s="28">
        <f t="shared" ca="1" si="11"/>
        <v>61.452777777777698</v>
      </c>
      <c r="E33" s="170" t="str">
        <f t="shared" ca="1" si="11"/>
        <v/>
      </c>
      <c r="F33" s="28" t="str">
        <f t="shared" ca="1" si="11"/>
        <v/>
      </c>
      <c r="G33" s="170" t="str">
        <f t="shared" ca="1" si="11"/>
        <v/>
      </c>
      <c r="H33" s="28" t="str">
        <f t="shared" ca="1" si="11"/>
        <v/>
      </c>
      <c r="I33" s="170" t="str">
        <f t="shared" ca="1" si="11"/>
        <v/>
      </c>
      <c r="J33" s="28" t="str">
        <f t="shared" ca="1" si="11"/>
        <v/>
      </c>
      <c r="K33" s="270" t="str">
        <f t="shared" ca="1" si="11"/>
        <v/>
      </c>
      <c r="L33" s="273">
        <f t="shared" ca="1" si="12"/>
        <v>61.452777777777698</v>
      </c>
      <c r="M33" s="95">
        <v>100440</v>
      </c>
      <c r="N33" s="59"/>
      <c r="O33" s="50"/>
      <c r="P33" s="50"/>
    </row>
    <row r="34" spans="1:16" s="14" customFormat="1" ht="15" customHeight="1" x14ac:dyDescent="0.35">
      <c r="A34" s="50"/>
      <c r="B34" s="9" t="s">
        <v>27</v>
      </c>
      <c r="C34" s="262"/>
      <c r="D34" s="28">
        <f t="shared" ca="1" si="11"/>
        <v>67.640555555555423</v>
      </c>
      <c r="E34" s="170" t="str">
        <f t="shared" ca="1" si="11"/>
        <v/>
      </c>
      <c r="F34" s="28" t="str">
        <f t="shared" ca="1" si="11"/>
        <v/>
      </c>
      <c r="G34" s="170" t="str">
        <f t="shared" ca="1" si="11"/>
        <v/>
      </c>
      <c r="H34" s="28" t="str">
        <f t="shared" ca="1" si="11"/>
        <v/>
      </c>
      <c r="I34" s="170" t="str">
        <f t="shared" ca="1" si="11"/>
        <v/>
      </c>
      <c r="J34" s="28" t="str">
        <f t="shared" ca="1" si="11"/>
        <v/>
      </c>
      <c r="K34" s="270" t="str">
        <f t="shared" ca="1" si="11"/>
        <v/>
      </c>
      <c r="L34" s="273">
        <f t="shared" ca="1" si="12"/>
        <v>67.640555555555423</v>
      </c>
      <c r="M34" s="95">
        <v>100021</v>
      </c>
      <c r="N34" s="59"/>
      <c r="O34" s="50"/>
      <c r="P34" s="50"/>
    </row>
    <row r="35" spans="1:16" s="14" customFormat="1" ht="15" customHeight="1" x14ac:dyDescent="0.35">
      <c r="A35" s="50"/>
      <c r="B35" s="9" t="s">
        <v>25</v>
      </c>
      <c r="C35" s="262"/>
      <c r="D35" s="28">
        <f t="shared" ca="1" si="11"/>
        <v>9.0833333333333304</v>
      </c>
      <c r="E35" s="170" t="str">
        <f t="shared" ca="1" si="11"/>
        <v/>
      </c>
      <c r="F35" s="28" t="str">
        <f t="shared" ca="1" si="11"/>
        <v/>
      </c>
      <c r="G35" s="170" t="str">
        <f t="shared" ca="1" si="11"/>
        <v/>
      </c>
      <c r="H35" s="28" t="str">
        <f t="shared" ca="1" si="11"/>
        <v/>
      </c>
      <c r="I35" s="170">
        <f t="shared" ca="1" si="11"/>
        <v>0.61972222222222195</v>
      </c>
      <c r="J35" s="28" t="str">
        <f t="shared" ca="1" si="11"/>
        <v/>
      </c>
      <c r="K35" s="270" t="str">
        <f t="shared" ca="1" si="11"/>
        <v/>
      </c>
      <c r="L35" s="273">
        <f t="shared" ca="1" si="12"/>
        <v>9.7030555555555527</v>
      </c>
      <c r="M35" s="95">
        <v>100461</v>
      </c>
      <c r="N35" s="59"/>
      <c r="O35" s="50"/>
      <c r="P35" s="50"/>
    </row>
    <row r="36" spans="1:16" s="14" customFormat="1" ht="15" customHeight="1" x14ac:dyDescent="0.35">
      <c r="A36" s="50"/>
      <c r="B36" s="11" t="s">
        <v>29</v>
      </c>
      <c r="C36" s="264"/>
      <c r="D36" s="29">
        <f ca="1">SUM(D33:D35)</f>
        <v>138.17666666666648</v>
      </c>
      <c r="E36" s="173">
        <f t="shared" ref="E36:L36" ca="1" si="14">SUM(E33:E35)</f>
        <v>0</v>
      </c>
      <c r="F36" s="29">
        <f t="shared" ca="1" si="14"/>
        <v>0</v>
      </c>
      <c r="G36" s="173">
        <f t="shared" ca="1" si="14"/>
        <v>0</v>
      </c>
      <c r="H36" s="29">
        <f t="shared" ca="1" si="14"/>
        <v>0</v>
      </c>
      <c r="I36" s="173">
        <f t="shared" ca="1" si="14"/>
        <v>0.61972222222222195</v>
      </c>
      <c r="J36" s="29">
        <f t="shared" ca="1" si="14"/>
        <v>0</v>
      </c>
      <c r="K36" s="231">
        <f t="shared" ca="1" si="14"/>
        <v>0</v>
      </c>
      <c r="L36" s="274">
        <f t="shared" ca="1" si="14"/>
        <v>138.79638888888869</v>
      </c>
      <c r="M36" s="95"/>
      <c r="N36" s="59"/>
      <c r="O36" s="50"/>
      <c r="P36" s="50"/>
    </row>
    <row r="37" spans="1:16" s="14" customFormat="1" ht="15" customHeight="1" x14ac:dyDescent="0.35">
      <c r="A37" s="50"/>
      <c r="B37" s="9" t="s">
        <v>51</v>
      </c>
      <c r="C37" s="262"/>
      <c r="D37" s="28">
        <f t="shared" ca="1" si="11"/>
        <v>24.190833333333298</v>
      </c>
      <c r="E37" s="170" t="str">
        <f t="shared" ca="1" si="11"/>
        <v/>
      </c>
      <c r="F37" s="28" t="str">
        <f t="shared" ca="1" si="11"/>
        <v/>
      </c>
      <c r="G37" s="170" t="str">
        <f t="shared" ca="1" si="11"/>
        <v/>
      </c>
      <c r="H37" s="28" t="str">
        <f t="shared" ca="1" si="11"/>
        <v/>
      </c>
      <c r="I37" s="170">
        <f t="shared" ca="1" si="11"/>
        <v>33.814166666666601</v>
      </c>
      <c r="J37" s="28" t="str">
        <f t="shared" ca="1" si="11"/>
        <v/>
      </c>
      <c r="K37" s="270" t="str">
        <f t="shared" ca="1" si="11"/>
        <v/>
      </c>
      <c r="L37" s="273">
        <f t="shared" ca="1" si="12"/>
        <v>58.004999999999896</v>
      </c>
      <c r="M37" s="95">
        <v>100465</v>
      </c>
      <c r="N37" s="59"/>
      <c r="O37" s="50"/>
      <c r="P37" s="50"/>
    </row>
    <row r="38" spans="1:16" s="14" customFormat="1" ht="15" customHeight="1" x14ac:dyDescent="0.35">
      <c r="A38" s="50"/>
      <c r="B38" s="61" t="s">
        <v>86</v>
      </c>
      <c r="C38" s="262"/>
      <c r="D38" s="28" t="str">
        <f t="shared" ca="1" si="11"/>
        <v/>
      </c>
      <c r="E38" s="170" t="str">
        <f t="shared" ca="1" si="11"/>
        <v/>
      </c>
      <c r="F38" s="28" t="str">
        <f t="shared" ca="1" si="11"/>
        <v/>
      </c>
      <c r="G38" s="170" t="str">
        <f t="shared" ca="1" si="11"/>
        <v/>
      </c>
      <c r="H38" s="28" t="str">
        <f t="shared" ca="1" si="11"/>
        <v/>
      </c>
      <c r="I38" s="170" t="str">
        <f t="shared" ca="1" si="11"/>
        <v/>
      </c>
      <c r="J38" s="28" t="str">
        <f t="shared" ca="1" si="11"/>
        <v/>
      </c>
      <c r="K38" s="270" t="str">
        <f t="shared" ca="1" si="11"/>
        <v/>
      </c>
      <c r="L38" s="273">
        <f t="shared" ca="1" si="12"/>
        <v>0</v>
      </c>
      <c r="M38" s="95">
        <v>100467</v>
      </c>
      <c r="N38" s="59"/>
      <c r="O38" s="50"/>
      <c r="P38" s="50"/>
    </row>
    <row r="39" spans="1:16" s="14" customFormat="1" ht="15" customHeight="1" x14ac:dyDescent="0.35">
      <c r="A39" s="50"/>
      <c r="B39" s="9" t="s">
        <v>18</v>
      </c>
      <c r="C39" s="262"/>
      <c r="D39" s="28">
        <f t="shared" ca="1" si="11"/>
        <v>6</v>
      </c>
      <c r="E39" s="170" t="str">
        <f t="shared" ca="1" si="11"/>
        <v/>
      </c>
      <c r="F39" s="28" t="str">
        <f ca="1">IFERROR(IF(SUMIF(INDIRECT("PPA."&amp;HOUR(F$11)&amp;"!$D:$D"),$M39,INDIRECT("PPA."&amp;HOUR(F$11)&amp;"!$H:$H"))=0,"",SUMIF(INDIRECT("PPA."&amp;HOUR(F$11)&amp;"!$D:$D"),$M39,INDIRECT("PPA."&amp;HOUR(F$11)&amp;"!$H:$H"))),"")</f>
        <v/>
      </c>
      <c r="G39" s="170" t="str">
        <f t="shared" ca="1" si="11"/>
        <v/>
      </c>
      <c r="H39" s="28" t="str">
        <f t="shared" ca="1" si="11"/>
        <v/>
      </c>
      <c r="I39" s="170" t="str">
        <f t="shared" ca="1" si="11"/>
        <v/>
      </c>
      <c r="J39" s="28" t="str">
        <f t="shared" ca="1" si="11"/>
        <v/>
      </c>
      <c r="K39" s="270" t="str">
        <f t="shared" ca="1" si="11"/>
        <v/>
      </c>
      <c r="L39" s="273">
        <f t="shared" ca="1" si="12"/>
        <v>6</v>
      </c>
      <c r="M39" s="95">
        <v>100436</v>
      </c>
      <c r="N39" s="59"/>
      <c r="O39" s="50"/>
      <c r="P39" s="50"/>
    </row>
    <row r="40" spans="1:16" s="14" customFormat="1" ht="15" customHeight="1" x14ac:dyDescent="0.35">
      <c r="A40" s="50"/>
      <c r="B40" s="9" t="s">
        <v>31</v>
      </c>
      <c r="C40" s="262"/>
      <c r="D40" s="28">
        <f t="shared" ca="1" si="11"/>
        <v>27.311111111111099</v>
      </c>
      <c r="E40" s="170" t="str">
        <f t="shared" ca="1" si="11"/>
        <v/>
      </c>
      <c r="F40" s="28" t="str">
        <f ca="1">IFERROR(IF(SUMIF(INDIRECT("PPA."&amp;HOUR(F$11)&amp;"!$D:$D"),$M40,INDIRECT("PPA."&amp;HOUR(F$11)&amp;"!$H:$H"))=0,"",SUMIF(INDIRECT("PPA."&amp;HOUR(F$11)&amp;"!$D:$D"),$M40,INDIRECT("PPA."&amp;HOUR(F$11)&amp;"!$H:$H"))),"")</f>
        <v/>
      </c>
      <c r="G40" s="170" t="str">
        <f t="shared" ca="1" si="11"/>
        <v/>
      </c>
      <c r="H40" s="28" t="str">
        <f t="shared" ca="1" si="11"/>
        <v/>
      </c>
      <c r="I40" s="170">
        <f t="shared" ca="1" si="11"/>
        <v>30.864444444444398</v>
      </c>
      <c r="J40" s="28" t="str">
        <f t="shared" ca="1" si="11"/>
        <v/>
      </c>
      <c r="K40" s="270" t="str">
        <f t="shared" ca="1" si="11"/>
        <v/>
      </c>
      <c r="L40" s="273">
        <f t="shared" ca="1" si="12"/>
        <v>58.175555555555498</v>
      </c>
      <c r="M40" s="95">
        <v>100429</v>
      </c>
      <c r="N40" s="59"/>
      <c r="O40" s="50"/>
      <c r="P40" s="50"/>
    </row>
    <row r="41" spans="1:16" s="14" customFormat="1" ht="15" customHeight="1" x14ac:dyDescent="0.35">
      <c r="A41" s="50"/>
      <c r="B41" s="11" t="s">
        <v>87</v>
      </c>
      <c r="C41" s="264"/>
      <c r="D41" s="29">
        <f ca="1">SUM(D37:D40)</f>
        <v>57.501944444444398</v>
      </c>
      <c r="E41" s="173">
        <f t="shared" ref="E41:K41" ca="1" si="15">SUM(E37:E40)</f>
        <v>0</v>
      </c>
      <c r="F41" s="29">
        <f t="shared" ca="1" si="15"/>
        <v>0</v>
      </c>
      <c r="G41" s="173">
        <f t="shared" ca="1" si="15"/>
        <v>0</v>
      </c>
      <c r="H41" s="29">
        <f t="shared" ca="1" si="15"/>
        <v>0</v>
      </c>
      <c r="I41" s="173">
        <f t="shared" ca="1" si="15"/>
        <v>64.678611111110996</v>
      </c>
      <c r="J41" s="29">
        <f t="shared" ca="1" si="15"/>
        <v>0</v>
      </c>
      <c r="K41" s="231">
        <f t="shared" ca="1" si="15"/>
        <v>0</v>
      </c>
      <c r="L41" s="274">
        <f t="shared" ca="1" si="12"/>
        <v>122.1805555555554</v>
      </c>
      <c r="M41" s="95"/>
      <c r="N41" s="59"/>
      <c r="O41" s="50"/>
      <c r="P41" s="50"/>
    </row>
    <row r="42" spans="1:16" s="14" customFormat="1" ht="15" customHeight="1" x14ac:dyDescent="0.35">
      <c r="A42" s="50"/>
      <c r="B42" s="193" t="s">
        <v>49</v>
      </c>
      <c r="C42" s="265"/>
      <c r="D42" s="28">
        <f t="shared" ref="D42:K46" ca="1" si="16">IFERROR(IF(SUMIF(INDIRECT("PPA."&amp;HOUR(D$11)&amp;"!$D:$D"),$M42,INDIRECT("PPA."&amp;HOUR(D$11)&amp;"!$H:$H"))=0,"",SUMIF(INDIRECT("PPA."&amp;HOUR(D$11)&amp;"!$D:$D"),$M42,INDIRECT("PPA."&amp;HOUR(D$11)&amp;"!$H:$H"))),"")</f>
        <v>141.37111111111108</v>
      </c>
      <c r="E42" s="170" t="str">
        <f t="shared" ca="1" si="16"/>
        <v/>
      </c>
      <c r="F42" s="28" t="str">
        <f ca="1">IFERROR(IF(SUMIF(INDIRECT("PPA."&amp;HOUR(F$11)&amp;"!$D:$D"),$M42,INDIRECT("PPA."&amp;HOUR(F$11)&amp;"!$H:$H"))=0,"",SUMIF(INDIRECT("PPA."&amp;HOUR(F$11)&amp;"!$D:$D"),$M42,INDIRECT("PPA."&amp;HOUR(F$11)&amp;"!$H:$H"))),"")</f>
        <v/>
      </c>
      <c r="G42" s="170" t="str">
        <f t="shared" ca="1" si="16"/>
        <v/>
      </c>
      <c r="H42" s="28" t="str">
        <f t="shared" ca="1" si="16"/>
        <v/>
      </c>
      <c r="I42" s="170">
        <f t="shared" ca="1" si="16"/>
        <v>25.824166666666532</v>
      </c>
      <c r="J42" s="28" t="str">
        <f t="shared" ca="1" si="16"/>
        <v/>
      </c>
      <c r="K42" s="270" t="str">
        <f t="shared" ca="1" si="16"/>
        <v/>
      </c>
      <c r="L42" s="273">
        <f t="shared" ca="1" si="12"/>
        <v>167.19527777777762</v>
      </c>
      <c r="M42" s="95">
        <v>100407</v>
      </c>
      <c r="N42" s="59"/>
      <c r="O42" s="50"/>
      <c r="P42" s="50"/>
    </row>
    <row r="43" spans="1:16" s="14" customFormat="1" ht="15" customHeight="1" x14ac:dyDescent="0.35">
      <c r="A43" s="50"/>
      <c r="B43" s="9" t="s">
        <v>82</v>
      </c>
      <c r="C43" s="262"/>
      <c r="D43" s="28">
        <f t="shared" ca="1" si="16"/>
        <v>30.684999999999999</v>
      </c>
      <c r="E43" s="170" t="str">
        <f t="shared" ca="1" si="16"/>
        <v/>
      </c>
      <c r="F43" s="28" t="str">
        <f ca="1">IFERROR(IF(SUMIF(INDIRECT("PPA."&amp;HOUR(F$11)&amp;"!$D:$D"),$M43,INDIRECT("PPA."&amp;HOUR(F$11)&amp;"!$H:$H"))=0,"",SUMIF(INDIRECT("PPA."&amp;HOUR(F$11)&amp;"!$D:$D"),$M43,INDIRECT("PPA."&amp;HOUR(F$11)&amp;"!$H:$H"))),"")</f>
        <v/>
      </c>
      <c r="G43" s="170" t="str">
        <f t="shared" ca="1" si="16"/>
        <v/>
      </c>
      <c r="H43" s="28" t="str">
        <f t="shared" ca="1" si="16"/>
        <v/>
      </c>
      <c r="I43" s="170">
        <f t="shared" ca="1" si="16"/>
        <v>5.4430555555555502</v>
      </c>
      <c r="J43" s="28" t="str">
        <f t="shared" ca="1" si="16"/>
        <v/>
      </c>
      <c r="K43" s="270" t="str">
        <f t="shared" ca="1" si="16"/>
        <v/>
      </c>
      <c r="L43" s="273">
        <f t="shared" ca="1" si="12"/>
        <v>36.128055555555548</v>
      </c>
      <c r="M43" s="95">
        <v>100463</v>
      </c>
      <c r="N43" s="59"/>
      <c r="O43" s="50"/>
      <c r="P43" s="50"/>
    </row>
    <row r="44" spans="1:16" s="14" customFormat="1" ht="15" customHeight="1" x14ac:dyDescent="0.35">
      <c r="A44" s="50"/>
      <c r="B44" s="9" t="s">
        <v>10</v>
      </c>
      <c r="C44" s="262"/>
      <c r="D44" s="28">
        <f t="shared" ca="1" si="16"/>
        <v>53.562777777777697</v>
      </c>
      <c r="E44" s="170" t="str">
        <f t="shared" ca="1" si="16"/>
        <v/>
      </c>
      <c r="F44" s="28" t="str">
        <f ca="1">IFERROR(IF(SUMIF(INDIRECT("PPA."&amp;HOUR(F$11)&amp;"!$D:$D"),$M44,INDIRECT("PPA."&amp;HOUR(F$11)&amp;"!$H:$H"))=0,"",SUMIF(INDIRECT("PPA."&amp;HOUR(F$11)&amp;"!$D:$D"),$M44,INDIRECT("PPA."&amp;HOUR(F$11)&amp;"!$H:$H"))),"")</f>
        <v/>
      </c>
      <c r="G44" s="170" t="str">
        <f t="shared" ca="1" si="16"/>
        <v/>
      </c>
      <c r="H44" s="28" t="str">
        <f t="shared" ca="1" si="16"/>
        <v/>
      </c>
      <c r="I44" s="170">
        <f t="shared" ca="1" si="16"/>
        <v>30.522499999999901</v>
      </c>
      <c r="J44" s="28" t="str">
        <f t="shared" ca="1" si="16"/>
        <v/>
      </c>
      <c r="K44" s="270" t="str">
        <f t="shared" ca="1" si="16"/>
        <v/>
      </c>
      <c r="L44" s="273">
        <f t="shared" ca="1" si="12"/>
        <v>84.085277777777605</v>
      </c>
      <c r="M44" s="95">
        <v>100411</v>
      </c>
      <c r="N44" s="59"/>
      <c r="O44" s="50"/>
      <c r="P44" s="50"/>
    </row>
    <row r="45" spans="1:16" s="14" customFormat="1" ht="15" customHeight="1" x14ac:dyDescent="0.35">
      <c r="A45" s="50"/>
      <c r="B45" s="9" t="s">
        <v>11</v>
      </c>
      <c r="C45" s="262"/>
      <c r="D45" s="28">
        <f t="shared" ca="1" si="16"/>
        <v>6.39472222222222</v>
      </c>
      <c r="E45" s="170" t="str">
        <f t="shared" ca="1" si="16"/>
        <v/>
      </c>
      <c r="F45" s="28" t="str">
        <f ca="1">IFERROR(IF(SUMIF(INDIRECT("PPA."&amp;HOUR(F$11)&amp;"!$D:$D"),$M45,INDIRECT("PPA."&amp;HOUR(F$11)&amp;"!$H:$H"))=0,"",SUMIF(INDIRECT("PPA."&amp;HOUR(F$11)&amp;"!$D:$D"),$M45,INDIRECT("PPA."&amp;HOUR(F$11)&amp;"!$H:$H"))),"")</f>
        <v/>
      </c>
      <c r="G45" s="170" t="str">
        <f t="shared" ca="1" si="16"/>
        <v/>
      </c>
      <c r="H45" s="28" t="str">
        <f t="shared" ca="1" si="16"/>
        <v/>
      </c>
      <c r="I45" s="170">
        <f t="shared" ca="1" si="16"/>
        <v>4.36666666666666</v>
      </c>
      <c r="J45" s="28" t="str">
        <f t="shared" ca="1" si="16"/>
        <v/>
      </c>
      <c r="K45" s="270" t="str">
        <f t="shared" ca="1" si="16"/>
        <v/>
      </c>
      <c r="L45" s="273">
        <f t="shared" ca="1" si="12"/>
        <v>10.761388888888881</v>
      </c>
      <c r="M45" s="95">
        <v>100410</v>
      </c>
      <c r="N45" s="59"/>
      <c r="O45" s="50"/>
      <c r="P45" s="50"/>
    </row>
    <row r="46" spans="1:16" s="14" customFormat="1" ht="15" customHeight="1" x14ac:dyDescent="0.35">
      <c r="A46" s="50"/>
      <c r="B46" s="198" t="s">
        <v>62</v>
      </c>
      <c r="C46" s="263"/>
      <c r="D46" s="28">
        <f t="shared" ca="1" si="16"/>
        <v>6.56</v>
      </c>
      <c r="E46" s="170" t="str">
        <f t="shared" ca="1" si="16"/>
        <v/>
      </c>
      <c r="F46" s="28" t="str">
        <f ca="1">IFERROR(IF(SUMIF(INDIRECT("PPA."&amp;HOUR(F$11)&amp;"!$D:$D"),$M46,INDIRECT("PPA."&amp;HOUR(F$11)&amp;"!$H:$H"))=0,"",SUMIF(INDIRECT("PPA."&amp;HOUR(F$11)&amp;"!$D:$D"),$M46,INDIRECT("PPA."&amp;HOUR(F$11)&amp;"!$H:$H"))),"")</f>
        <v/>
      </c>
      <c r="G46" s="170" t="str">
        <f t="shared" ca="1" si="16"/>
        <v/>
      </c>
      <c r="H46" s="28" t="str">
        <f t="shared" ca="1" si="16"/>
        <v/>
      </c>
      <c r="I46" s="170">
        <f t="shared" ca="1" si="16"/>
        <v>105.418055555555</v>
      </c>
      <c r="J46" s="28" t="str">
        <f t="shared" ca="1" si="16"/>
        <v/>
      </c>
      <c r="K46" s="270" t="str">
        <f t="shared" ca="1" si="16"/>
        <v/>
      </c>
      <c r="L46" s="273">
        <f t="shared" ca="1" si="12"/>
        <v>111.978055555555</v>
      </c>
      <c r="M46" s="95">
        <v>100462</v>
      </c>
      <c r="N46" s="59"/>
      <c r="O46" s="50"/>
      <c r="P46" s="50"/>
    </row>
    <row r="47" spans="1:16" s="14" customFormat="1" ht="15" customHeight="1" x14ac:dyDescent="0.35">
      <c r="A47" s="50"/>
      <c r="B47" s="11" t="s">
        <v>88</v>
      </c>
      <c r="C47" s="264"/>
      <c r="D47" s="29"/>
      <c r="E47" s="173"/>
      <c r="F47" s="29"/>
      <c r="G47" s="173"/>
      <c r="H47" s="29"/>
      <c r="I47" s="173"/>
      <c r="J47" s="29"/>
      <c r="K47" s="231"/>
      <c r="L47" s="274">
        <f t="shared" si="12"/>
        <v>0</v>
      </c>
      <c r="M47" s="95"/>
      <c r="N47" s="59"/>
      <c r="O47" s="50"/>
      <c r="P47" s="50"/>
    </row>
    <row r="48" spans="1:16" s="14" customFormat="1" ht="15" customHeight="1" thickBot="1" x14ac:dyDescent="0.4">
      <c r="A48" s="50"/>
      <c r="B48" s="193" t="s">
        <v>4</v>
      </c>
      <c r="C48" s="265">
        <f>SUM(C47,C41,C36,C32)</f>
        <v>0</v>
      </c>
      <c r="D48" s="175">
        <f ca="1">SUM(D27:D40)</f>
        <v>490.64805555555506</v>
      </c>
      <c r="E48" s="174">
        <f t="shared" ref="E48:K48" ca="1" si="17">SUM(E27:E38)</f>
        <v>0</v>
      </c>
      <c r="F48" s="175">
        <f t="shared" ca="1" si="17"/>
        <v>0</v>
      </c>
      <c r="G48" s="174">
        <f t="shared" ca="1" si="17"/>
        <v>0</v>
      </c>
      <c r="H48" s="175">
        <f t="shared" ca="1" si="17"/>
        <v>0</v>
      </c>
      <c r="I48" s="174">
        <f t="shared" ca="1" si="17"/>
        <v>35.399166666666602</v>
      </c>
      <c r="J48" s="175">
        <f t="shared" ca="1" si="17"/>
        <v>0</v>
      </c>
      <c r="K48" s="232">
        <f t="shared" ca="1" si="17"/>
        <v>0</v>
      </c>
      <c r="L48" s="276">
        <f t="shared" ca="1" si="12"/>
        <v>526.04722222222165</v>
      </c>
      <c r="M48" s="95"/>
      <c r="N48" s="59"/>
      <c r="O48" s="50"/>
      <c r="P48" s="50"/>
    </row>
    <row r="49" spans="1:18" s="14" customFormat="1" ht="15" customHeight="1" thickBot="1" x14ac:dyDescent="0.4">
      <c r="A49" s="50"/>
      <c r="B49" s="200" t="s">
        <v>44</v>
      </c>
      <c r="C49" s="443" t="s">
        <v>44</v>
      </c>
      <c r="D49" s="444"/>
      <c r="E49" s="444"/>
      <c r="F49" s="444"/>
      <c r="G49" s="444"/>
      <c r="H49" s="444"/>
      <c r="I49" s="444"/>
      <c r="J49" s="444"/>
      <c r="K49" s="444"/>
      <c r="L49" s="445"/>
      <c r="M49" s="95"/>
      <c r="N49" s="59"/>
      <c r="O49" s="50"/>
      <c r="P49" s="50"/>
    </row>
    <row r="50" spans="1:18" s="14" customFormat="1" ht="15" customHeight="1" x14ac:dyDescent="0.35">
      <c r="A50" s="50"/>
      <c r="B50" s="193" t="s">
        <v>60</v>
      </c>
      <c r="C50" s="261"/>
      <c r="D50" s="257">
        <f ca="1">IFERROR(D$18/D27,"")</f>
        <v>0</v>
      </c>
      <c r="E50" s="170" t="str">
        <f ca="1">IFERROR(E$18/E27,"")</f>
        <v/>
      </c>
      <c r="F50" s="170" t="str">
        <f t="shared" ref="F50:K50" ca="1" si="18">IFERROR(F$18/F27,"")</f>
        <v/>
      </c>
      <c r="G50" s="170" t="str">
        <f t="shared" ca="1" si="18"/>
        <v/>
      </c>
      <c r="H50" s="170" t="str">
        <f t="shared" ca="1" si="18"/>
        <v/>
      </c>
      <c r="I50" s="170" t="str">
        <f t="shared" ca="1" si="18"/>
        <v/>
      </c>
      <c r="J50" s="170" t="str">
        <f t="shared" ca="1" si="18"/>
        <v/>
      </c>
      <c r="K50" s="270" t="str">
        <f t="shared" ca="1" si="18"/>
        <v/>
      </c>
      <c r="L50" s="272">
        <f ca="1">SUM(D50:K50)</f>
        <v>0</v>
      </c>
      <c r="M50" s="95"/>
      <c r="N50" s="59"/>
      <c r="O50" s="50"/>
      <c r="P50" s="83"/>
      <c r="Q50" s="15"/>
      <c r="R50" s="15"/>
    </row>
    <row r="51" spans="1:18" s="14" customFormat="1" ht="15" customHeight="1" x14ac:dyDescent="0.35">
      <c r="A51" s="50"/>
      <c r="B51" s="9" t="s">
        <v>85</v>
      </c>
      <c r="C51" s="262"/>
      <c r="D51" s="257">
        <f ca="1">IFERROR(D$18/D28,"")</f>
        <v>0</v>
      </c>
      <c r="E51" s="170" t="str">
        <f t="shared" ref="E51:K51" ca="1" si="19">IFERROR(E$18/E28,"")</f>
        <v/>
      </c>
      <c r="F51" s="170" t="str">
        <f t="shared" ca="1" si="19"/>
        <v/>
      </c>
      <c r="G51" s="170" t="str">
        <f t="shared" ca="1" si="19"/>
        <v/>
      </c>
      <c r="H51" s="170" t="str">
        <f t="shared" ca="1" si="19"/>
        <v/>
      </c>
      <c r="I51" s="170" t="str">
        <f t="shared" ca="1" si="19"/>
        <v/>
      </c>
      <c r="J51" s="170" t="str">
        <f t="shared" ca="1" si="19"/>
        <v/>
      </c>
      <c r="K51" s="270" t="str">
        <f t="shared" ca="1" si="19"/>
        <v/>
      </c>
      <c r="L51" s="273">
        <f t="shared" ref="L51:L71" ca="1" si="20">SUM(D51:K51)</f>
        <v>0</v>
      </c>
      <c r="M51" s="95"/>
      <c r="N51" s="59"/>
      <c r="O51" s="50"/>
      <c r="P51" s="50"/>
    </row>
    <row r="52" spans="1:18" s="14" customFormat="1" ht="15" customHeight="1" x14ac:dyDescent="0.35">
      <c r="A52" s="50"/>
      <c r="B52" s="9" t="s">
        <v>7</v>
      </c>
      <c r="C52" s="262"/>
      <c r="D52" s="257">
        <f t="shared" ref="D52:K54" ca="1" si="21">IFERROR(D$18/D29,"")</f>
        <v>0</v>
      </c>
      <c r="E52" s="170" t="str">
        <f t="shared" ca="1" si="21"/>
        <v/>
      </c>
      <c r="F52" s="170" t="str">
        <f t="shared" ca="1" si="21"/>
        <v/>
      </c>
      <c r="G52" s="170" t="str">
        <f t="shared" ca="1" si="21"/>
        <v/>
      </c>
      <c r="H52" s="170" t="str">
        <f t="shared" ca="1" si="21"/>
        <v/>
      </c>
      <c r="I52" s="170" t="str">
        <f t="shared" ca="1" si="21"/>
        <v/>
      </c>
      <c r="J52" s="170" t="str">
        <f t="shared" ca="1" si="21"/>
        <v/>
      </c>
      <c r="K52" s="270" t="str">
        <f t="shared" ca="1" si="21"/>
        <v/>
      </c>
      <c r="L52" s="273">
        <f t="shared" ca="1" si="20"/>
        <v>0</v>
      </c>
      <c r="M52" s="95"/>
      <c r="N52" s="59"/>
      <c r="O52" s="50"/>
      <c r="P52" s="50"/>
    </row>
    <row r="53" spans="1:18" s="14" customFormat="1" ht="15" customHeight="1" x14ac:dyDescent="0.35">
      <c r="A53" s="50"/>
      <c r="B53" s="9" t="s">
        <v>20</v>
      </c>
      <c r="C53" s="262"/>
      <c r="D53" s="257">
        <f t="shared" ca="1" si="21"/>
        <v>0</v>
      </c>
      <c r="E53" s="170" t="str">
        <f t="shared" ca="1" si="21"/>
        <v/>
      </c>
      <c r="F53" s="170" t="str">
        <f t="shared" ca="1" si="21"/>
        <v/>
      </c>
      <c r="G53" s="170" t="str">
        <f t="shared" ca="1" si="21"/>
        <v/>
      </c>
      <c r="H53" s="170" t="str">
        <f t="shared" ca="1" si="21"/>
        <v/>
      </c>
      <c r="I53" s="170">
        <f t="shared" ca="1" si="21"/>
        <v>0</v>
      </c>
      <c r="J53" s="170" t="str">
        <f t="shared" ca="1" si="21"/>
        <v/>
      </c>
      <c r="K53" s="270" t="str">
        <f t="shared" ca="1" si="21"/>
        <v/>
      </c>
      <c r="L53" s="273">
        <f t="shared" ca="1" si="20"/>
        <v>0</v>
      </c>
      <c r="M53" s="95"/>
      <c r="N53" s="59"/>
      <c r="O53" s="50"/>
      <c r="P53" s="50"/>
    </row>
    <row r="54" spans="1:18" s="14" customFormat="1" ht="15" customHeight="1" x14ac:dyDescent="0.35">
      <c r="A54" s="50"/>
      <c r="B54" s="9" t="s">
        <v>9</v>
      </c>
      <c r="C54" s="262"/>
      <c r="D54" s="260">
        <f t="shared" ca="1" si="21"/>
        <v>0</v>
      </c>
      <c r="E54" s="199" t="str">
        <f t="shared" ca="1" si="21"/>
        <v/>
      </c>
      <c r="F54" s="199" t="str">
        <f t="shared" ca="1" si="21"/>
        <v/>
      </c>
      <c r="G54" s="199" t="str">
        <f t="shared" ca="1" si="21"/>
        <v/>
      </c>
      <c r="H54" s="199" t="str">
        <f t="shared" ca="1" si="21"/>
        <v/>
      </c>
      <c r="I54" s="199">
        <f t="shared" ca="1" si="21"/>
        <v>0</v>
      </c>
      <c r="J54" s="199" t="str">
        <f t="shared" ca="1" si="21"/>
        <v/>
      </c>
      <c r="K54" s="271" t="str">
        <f t="shared" ca="1" si="21"/>
        <v/>
      </c>
      <c r="L54" s="273">
        <f t="shared" ca="1" si="20"/>
        <v>0</v>
      </c>
      <c r="M54" s="95"/>
      <c r="N54" s="59"/>
      <c r="O54" s="55"/>
      <c r="P54" s="50"/>
    </row>
    <row r="55" spans="1:18" s="14" customFormat="1" ht="15" customHeight="1" x14ac:dyDescent="0.35">
      <c r="A55" s="50"/>
      <c r="B55" s="11" t="s">
        <v>28</v>
      </c>
      <c r="C55" s="264"/>
      <c r="D55" s="258">
        <f ca="1">SUM(D50:D54)</f>
        <v>0</v>
      </c>
      <c r="E55" s="173">
        <f t="shared" ref="E55:J55" ca="1" si="22">SUM(E50:E54)</f>
        <v>0</v>
      </c>
      <c r="F55" s="173">
        <f t="shared" ca="1" si="22"/>
        <v>0</v>
      </c>
      <c r="G55" s="173">
        <f t="shared" ca="1" si="22"/>
        <v>0</v>
      </c>
      <c r="H55" s="173">
        <f t="shared" ca="1" si="22"/>
        <v>0</v>
      </c>
      <c r="I55" s="173">
        <f t="shared" ca="1" si="22"/>
        <v>0</v>
      </c>
      <c r="J55" s="173">
        <f t="shared" ca="1" si="22"/>
        <v>0</v>
      </c>
      <c r="K55" s="231">
        <f ca="1">SUM(K50:K54)</f>
        <v>0</v>
      </c>
      <c r="L55" s="274">
        <f t="shared" ca="1" si="20"/>
        <v>0</v>
      </c>
      <c r="M55" s="95"/>
      <c r="N55" s="59"/>
      <c r="O55" s="55"/>
      <c r="P55" s="50"/>
    </row>
    <row r="56" spans="1:18" s="14" customFormat="1" ht="15" customHeight="1" x14ac:dyDescent="0.35">
      <c r="A56" s="50"/>
      <c r="B56" s="9" t="s">
        <v>1</v>
      </c>
      <c r="C56" s="262"/>
      <c r="D56" s="257">
        <f ca="1">IFERROR(D$22/D33,"")</f>
        <v>315.9173710617913</v>
      </c>
      <c r="E56" s="170" t="str">
        <f t="shared" ref="E56:K56" ca="1" si="23">IFERROR(E$22/E33,"")</f>
        <v/>
      </c>
      <c r="F56" s="170" t="str">
        <f t="shared" ca="1" si="23"/>
        <v/>
      </c>
      <c r="G56" s="170" t="str">
        <f t="shared" ca="1" si="23"/>
        <v/>
      </c>
      <c r="H56" s="170" t="str">
        <f t="shared" ca="1" si="23"/>
        <v/>
      </c>
      <c r="I56" s="170" t="str">
        <f t="shared" ca="1" si="23"/>
        <v/>
      </c>
      <c r="J56" s="170" t="str">
        <f t="shared" ca="1" si="23"/>
        <v/>
      </c>
      <c r="K56" s="270" t="str">
        <f t="shared" ca="1" si="23"/>
        <v/>
      </c>
      <c r="L56" s="273">
        <f t="shared" ca="1" si="20"/>
        <v>315.9173710617913</v>
      </c>
      <c r="M56" s="95"/>
      <c r="N56" s="59"/>
      <c r="O56" s="50"/>
      <c r="P56" s="50"/>
    </row>
    <row r="57" spans="1:18" s="14" customFormat="1" ht="15" customHeight="1" x14ac:dyDescent="0.35">
      <c r="A57" s="50"/>
      <c r="B57" s="9" t="s">
        <v>27</v>
      </c>
      <c r="C57" s="262"/>
      <c r="D57" s="257">
        <f t="shared" ref="D57:K58" ca="1" si="24">IFERROR(D$22/D34,"")</f>
        <v>287.01715768810681</v>
      </c>
      <c r="E57" s="170" t="str">
        <f t="shared" ca="1" si="24"/>
        <v/>
      </c>
      <c r="F57" s="170" t="str">
        <f t="shared" ca="1" si="24"/>
        <v/>
      </c>
      <c r="G57" s="170" t="str">
        <f t="shared" ca="1" si="24"/>
        <v/>
      </c>
      <c r="H57" s="170" t="str">
        <f t="shared" ca="1" si="24"/>
        <v/>
      </c>
      <c r="I57" s="170" t="str">
        <f t="shared" ca="1" si="24"/>
        <v/>
      </c>
      <c r="J57" s="170" t="str">
        <f t="shared" ca="1" si="24"/>
        <v/>
      </c>
      <c r="K57" s="270" t="str">
        <f t="shared" ca="1" si="24"/>
        <v/>
      </c>
      <c r="L57" s="273">
        <f t="shared" ca="1" si="20"/>
        <v>287.01715768810681</v>
      </c>
      <c r="M57" s="95"/>
      <c r="N57" s="59"/>
      <c r="O57" s="50"/>
      <c r="P57" s="50"/>
    </row>
    <row r="58" spans="1:18" s="14" customFormat="1" ht="15" customHeight="1" x14ac:dyDescent="0.35">
      <c r="A58" s="50"/>
      <c r="B58" s="9" t="s">
        <v>25</v>
      </c>
      <c r="C58" s="262"/>
      <c r="D58" s="257">
        <f t="shared" ca="1" si="24"/>
        <v>2137.321100917432</v>
      </c>
      <c r="E58" s="170" t="str">
        <f t="shared" ca="1" si="24"/>
        <v/>
      </c>
      <c r="F58" s="170" t="str">
        <f t="shared" ca="1" si="24"/>
        <v/>
      </c>
      <c r="G58" s="170" t="str">
        <f t="shared" ca="1" si="24"/>
        <v/>
      </c>
      <c r="H58" s="170" t="str">
        <f t="shared" ca="1" si="24"/>
        <v/>
      </c>
      <c r="I58" s="170" t="str">
        <f t="shared" ca="1" si="24"/>
        <v/>
      </c>
      <c r="J58" s="170" t="str">
        <f t="shared" ca="1" si="24"/>
        <v/>
      </c>
      <c r="K58" s="270" t="str">
        <f t="shared" ca="1" si="24"/>
        <v/>
      </c>
      <c r="L58" s="273">
        <f t="shared" ca="1" si="20"/>
        <v>2137.321100917432</v>
      </c>
      <c r="M58" s="95"/>
      <c r="N58" s="59"/>
      <c r="O58" s="50"/>
      <c r="P58" s="50"/>
    </row>
    <row r="59" spans="1:18" s="14" customFormat="1" ht="15" customHeight="1" x14ac:dyDescent="0.35">
      <c r="A59" s="50"/>
      <c r="B59" s="11" t="s">
        <v>29</v>
      </c>
      <c r="C59" s="264"/>
      <c r="D59" s="258">
        <f ca="1">SUM(D56:D58)</f>
        <v>2740.2556296673301</v>
      </c>
      <c r="E59" s="173">
        <f t="shared" ref="E59:K59" ca="1" si="25">SUM(E56:E58)</f>
        <v>0</v>
      </c>
      <c r="F59" s="173">
        <f t="shared" ca="1" si="25"/>
        <v>0</v>
      </c>
      <c r="G59" s="173">
        <f t="shared" ca="1" si="25"/>
        <v>0</v>
      </c>
      <c r="H59" s="173">
        <f t="shared" ca="1" si="25"/>
        <v>0</v>
      </c>
      <c r="I59" s="173">
        <f t="shared" ca="1" si="25"/>
        <v>0</v>
      </c>
      <c r="J59" s="173">
        <f t="shared" ca="1" si="25"/>
        <v>0</v>
      </c>
      <c r="K59" s="231">
        <f t="shared" ca="1" si="25"/>
        <v>0</v>
      </c>
      <c r="L59" s="274">
        <f t="shared" ca="1" si="20"/>
        <v>2740.2556296673301</v>
      </c>
      <c r="M59" s="95"/>
      <c r="N59" s="59"/>
      <c r="O59" s="50"/>
      <c r="P59" s="50"/>
    </row>
    <row r="60" spans="1:18" s="14" customFormat="1" ht="15" customHeight="1" x14ac:dyDescent="0.35">
      <c r="A60" s="50"/>
      <c r="B60" s="9" t="s">
        <v>51</v>
      </c>
      <c r="C60" s="262"/>
      <c r="D60" s="257"/>
      <c r="E60" s="170" t="str">
        <f ca="1">IFERROR(E$22/E37,"")</f>
        <v/>
      </c>
      <c r="F60" s="170" t="str">
        <f t="shared" ref="F60:J60" ca="1" si="26">IFERROR(F$22/F37,"")</f>
        <v/>
      </c>
      <c r="G60" s="170" t="str">
        <f t="shared" ca="1" si="26"/>
        <v/>
      </c>
      <c r="H60" s="170" t="str">
        <f t="shared" ca="1" si="26"/>
        <v/>
      </c>
      <c r="I60" s="170" t="str">
        <f t="shared" ca="1" si="26"/>
        <v/>
      </c>
      <c r="J60" s="170" t="str">
        <f t="shared" ca="1" si="26"/>
        <v/>
      </c>
      <c r="K60" s="270" t="str">
        <f ca="1">IFERROR(K$22/K37,"")</f>
        <v/>
      </c>
      <c r="L60" s="273">
        <f t="shared" ca="1" si="20"/>
        <v>0</v>
      </c>
      <c r="M60" s="95"/>
      <c r="N60" s="59"/>
      <c r="O60" s="50"/>
      <c r="P60" s="50"/>
    </row>
    <row r="61" spans="1:18" s="14" customFormat="1" ht="15" customHeight="1" x14ac:dyDescent="0.35">
      <c r="A61" s="50"/>
      <c r="B61" s="61" t="s">
        <v>86</v>
      </c>
      <c r="C61" s="262"/>
      <c r="D61" s="257" t="str">
        <f t="shared" ref="D61:K63" ca="1" si="27">IFERROR(D$22/D38,"")</f>
        <v/>
      </c>
      <c r="E61" s="170" t="str">
        <f t="shared" ca="1" si="27"/>
        <v/>
      </c>
      <c r="F61" s="170" t="str">
        <f t="shared" ca="1" si="27"/>
        <v/>
      </c>
      <c r="G61" s="170" t="str">
        <f t="shared" ca="1" si="27"/>
        <v/>
      </c>
      <c r="H61" s="170" t="str">
        <f t="shared" ca="1" si="27"/>
        <v/>
      </c>
      <c r="I61" s="170" t="str">
        <f t="shared" ca="1" si="27"/>
        <v/>
      </c>
      <c r="J61" s="170" t="str">
        <f t="shared" ca="1" si="27"/>
        <v/>
      </c>
      <c r="K61" s="270" t="str">
        <f t="shared" ca="1" si="27"/>
        <v/>
      </c>
      <c r="L61" s="273">
        <f t="shared" ca="1" si="20"/>
        <v>0</v>
      </c>
      <c r="M61" s="95"/>
      <c r="N61" s="59"/>
      <c r="O61" s="50"/>
      <c r="P61" s="50"/>
    </row>
    <row r="62" spans="1:18" s="14" customFormat="1" ht="15" customHeight="1" x14ac:dyDescent="0.35">
      <c r="A62" s="50"/>
      <c r="B62" s="9" t="s">
        <v>18</v>
      </c>
      <c r="C62" s="262"/>
      <c r="D62" s="257">
        <f t="shared" ca="1" si="27"/>
        <v>3235.6666666666665</v>
      </c>
      <c r="E62" s="170" t="str">
        <f t="shared" ca="1" si="27"/>
        <v/>
      </c>
      <c r="F62" s="170" t="str">
        <f t="shared" ca="1" si="27"/>
        <v/>
      </c>
      <c r="G62" s="170" t="str">
        <f t="shared" ca="1" si="27"/>
        <v/>
      </c>
      <c r="H62" s="170" t="str">
        <f t="shared" ca="1" si="27"/>
        <v/>
      </c>
      <c r="I62" s="170" t="str">
        <f t="shared" ca="1" si="27"/>
        <v/>
      </c>
      <c r="J62" s="170" t="str">
        <f t="shared" ca="1" si="27"/>
        <v/>
      </c>
      <c r="K62" s="270" t="str">
        <f t="shared" ca="1" si="27"/>
        <v/>
      </c>
      <c r="L62" s="273">
        <f t="shared" ca="1" si="20"/>
        <v>3235.6666666666665</v>
      </c>
      <c r="M62" s="95"/>
      <c r="N62" s="59"/>
      <c r="O62" s="50"/>
      <c r="P62" s="50"/>
    </row>
    <row r="63" spans="1:18" s="14" customFormat="1" ht="15" customHeight="1" x14ac:dyDescent="0.35">
      <c r="A63" s="50"/>
      <c r="B63" s="9" t="s">
        <v>31</v>
      </c>
      <c r="C63" s="262"/>
      <c r="D63" s="257">
        <f t="shared" ca="1" si="27"/>
        <v>710.84621643612729</v>
      </c>
      <c r="E63" s="170" t="str">
        <f t="shared" ca="1" si="27"/>
        <v/>
      </c>
      <c r="F63" s="170" t="str">
        <f t="shared" ca="1" si="27"/>
        <v/>
      </c>
      <c r="G63" s="170" t="str">
        <f t="shared" ca="1" si="27"/>
        <v/>
      </c>
      <c r="H63" s="170" t="str">
        <f t="shared" ca="1" si="27"/>
        <v/>
      </c>
      <c r="I63" s="170" t="str">
        <f t="shared" ca="1" si="27"/>
        <v/>
      </c>
      <c r="J63" s="170" t="str">
        <f t="shared" ca="1" si="27"/>
        <v/>
      </c>
      <c r="K63" s="270" t="str">
        <f t="shared" ca="1" si="27"/>
        <v/>
      </c>
      <c r="L63" s="273">
        <f t="shared" ca="1" si="20"/>
        <v>710.84621643612729</v>
      </c>
      <c r="M63" s="95"/>
      <c r="N63" s="59"/>
      <c r="O63" s="50"/>
      <c r="P63" s="50"/>
    </row>
    <row r="64" spans="1:18" s="14" customFormat="1" ht="15" customHeight="1" x14ac:dyDescent="0.35">
      <c r="A64" s="50"/>
      <c r="B64" s="11" t="s">
        <v>87</v>
      </c>
      <c r="C64" s="264"/>
      <c r="D64" s="258"/>
      <c r="E64" s="173"/>
      <c r="F64" s="173"/>
      <c r="G64" s="173"/>
      <c r="H64" s="173"/>
      <c r="I64" s="173"/>
      <c r="J64" s="173"/>
      <c r="K64" s="231"/>
      <c r="L64" s="274">
        <f t="shared" si="20"/>
        <v>0</v>
      </c>
      <c r="M64" s="95"/>
      <c r="N64" s="59"/>
      <c r="O64" s="50"/>
      <c r="P64" s="50"/>
    </row>
    <row r="65" spans="1:16" s="14" customFormat="1" ht="15" customHeight="1" x14ac:dyDescent="0.35">
      <c r="A65" s="50"/>
      <c r="B65" s="193" t="s">
        <v>49</v>
      </c>
      <c r="C65" s="265"/>
      <c r="D65" s="259">
        <f ca="1">IFERROR(D$22/D42,"")</f>
        <v>137.32650077809393</v>
      </c>
      <c r="E65" s="174" t="str">
        <f t="shared" ref="E65:K65" ca="1" si="28">IFERROR(E$22/E42,"")</f>
        <v/>
      </c>
      <c r="F65" s="174" t="str">
        <f t="shared" ca="1" si="28"/>
        <v/>
      </c>
      <c r="G65" s="174" t="str">
        <f t="shared" ca="1" si="28"/>
        <v/>
      </c>
      <c r="H65" s="174" t="str">
        <f t="shared" ca="1" si="28"/>
        <v/>
      </c>
      <c r="I65" s="174" t="str">
        <f t="shared" ca="1" si="28"/>
        <v/>
      </c>
      <c r="J65" s="174" t="str">
        <f t="shared" ca="1" si="28"/>
        <v/>
      </c>
      <c r="K65" s="232" t="str">
        <f t="shared" ca="1" si="28"/>
        <v/>
      </c>
      <c r="L65" s="273">
        <f t="shared" ca="1" si="20"/>
        <v>137.32650077809393</v>
      </c>
      <c r="M65" s="95"/>
      <c r="N65" s="59"/>
      <c r="O65" s="50"/>
      <c r="P65" s="50"/>
    </row>
    <row r="66" spans="1:16" s="14" customFormat="1" ht="15" customHeight="1" x14ac:dyDescent="0.35">
      <c r="A66" s="50"/>
      <c r="B66" s="9" t="s">
        <v>82</v>
      </c>
      <c r="C66" s="262"/>
      <c r="D66" s="257">
        <f t="shared" ref="D66:K69" ca="1" si="29">IFERROR(D$22/D43,"")</f>
        <v>632.68698060941836</v>
      </c>
      <c r="E66" s="170" t="str">
        <f t="shared" ca="1" si="29"/>
        <v/>
      </c>
      <c r="F66" s="170" t="str">
        <f t="shared" ca="1" si="29"/>
        <v/>
      </c>
      <c r="G66" s="170" t="str">
        <f t="shared" ca="1" si="29"/>
        <v/>
      </c>
      <c r="H66" s="170" t="str">
        <f t="shared" ca="1" si="29"/>
        <v/>
      </c>
      <c r="I66" s="170" t="str">
        <f t="shared" ca="1" si="29"/>
        <v/>
      </c>
      <c r="J66" s="170" t="str">
        <f t="shared" ca="1" si="29"/>
        <v/>
      </c>
      <c r="K66" s="270" t="str">
        <f t="shared" ca="1" si="29"/>
        <v/>
      </c>
      <c r="L66" s="273">
        <f t="shared" ca="1" si="20"/>
        <v>632.68698060941836</v>
      </c>
      <c r="M66" s="95"/>
      <c r="N66" s="59"/>
      <c r="O66" s="50"/>
      <c r="P66" s="50"/>
    </row>
    <row r="67" spans="1:16" s="14" customFormat="1" ht="15" customHeight="1" x14ac:dyDescent="0.35">
      <c r="A67" s="50"/>
      <c r="B67" s="9" t="s">
        <v>10</v>
      </c>
      <c r="C67" s="262"/>
      <c r="D67" s="257">
        <f t="shared" ca="1" si="29"/>
        <v>362.45319614574851</v>
      </c>
      <c r="E67" s="170" t="str">
        <f t="shared" ca="1" si="29"/>
        <v/>
      </c>
      <c r="F67" s="170" t="str">
        <f t="shared" ca="1" si="29"/>
        <v/>
      </c>
      <c r="G67" s="170" t="str">
        <f t="shared" ca="1" si="29"/>
        <v/>
      </c>
      <c r="H67" s="170" t="str">
        <f t="shared" ca="1" si="29"/>
        <v/>
      </c>
      <c r="I67" s="170" t="str">
        <f t="shared" ca="1" si="29"/>
        <v/>
      </c>
      <c r="J67" s="170" t="str">
        <f t="shared" ca="1" si="29"/>
        <v/>
      </c>
      <c r="K67" s="270" t="str">
        <f t="shared" ca="1" si="29"/>
        <v/>
      </c>
      <c r="L67" s="273">
        <f t="shared" ca="1" si="20"/>
        <v>362.45319614574851</v>
      </c>
      <c r="M67" s="95"/>
      <c r="N67" s="59"/>
      <c r="O67" s="50"/>
      <c r="P67" s="50"/>
    </row>
    <row r="68" spans="1:16" s="14" customFormat="1" ht="15" customHeight="1" x14ac:dyDescent="0.35">
      <c r="A68" s="50"/>
      <c r="B68" s="9" t="s">
        <v>11</v>
      </c>
      <c r="C68" s="262"/>
      <c r="D68" s="257">
        <f t="shared" ca="1" si="29"/>
        <v>3035.9410972590254</v>
      </c>
      <c r="E68" s="170" t="str">
        <f t="shared" ca="1" si="29"/>
        <v/>
      </c>
      <c r="F68" s="170" t="str">
        <f t="shared" ca="1" si="29"/>
        <v/>
      </c>
      <c r="G68" s="170" t="str">
        <f t="shared" ca="1" si="29"/>
        <v/>
      </c>
      <c r="H68" s="170" t="str">
        <f t="shared" ca="1" si="29"/>
        <v/>
      </c>
      <c r="I68" s="170" t="str">
        <f t="shared" ca="1" si="29"/>
        <v/>
      </c>
      <c r="J68" s="170" t="str">
        <f t="shared" ca="1" si="29"/>
        <v/>
      </c>
      <c r="K68" s="270" t="str">
        <f t="shared" ca="1" si="29"/>
        <v/>
      </c>
      <c r="L68" s="273">
        <f t="shared" ca="1" si="20"/>
        <v>3035.9410972590254</v>
      </c>
      <c r="M68" s="95"/>
      <c r="N68" s="59"/>
      <c r="O68" s="50"/>
      <c r="P68" s="50"/>
    </row>
    <row r="69" spans="1:16" s="14" customFormat="1" ht="15" customHeight="1" x14ac:dyDescent="0.35">
      <c r="A69" s="50"/>
      <c r="B69" s="198" t="s">
        <v>62</v>
      </c>
      <c r="C69" s="263"/>
      <c r="D69" s="260">
        <f t="shared" ca="1" si="29"/>
        <v>2959.4512195121952</v>
      </c>
      <c r="E69" s="199" t="str">
        <f t="shared" ca="1" si="29"/>
        <v/>
      </c>
      <c r="F69" s="199" t="str">
        <f t="shared" ca="1" si="29"/>
        <v/>
      </c>
      <c r="G69" s="199" t="str">
        <f t="shared" ca="1" si="29"/>
        <v/>
      </c>
      <c r="H69" s="199" t="str">
        <f t="shared" ca="1" si="29"/>
        <v/>
      </c>
      <c r="I69" s="199" t="str">
        <f t="shared" ca="1" si="29"/>
        <v/>
      </c>
      <c r="J69" s="199" t="str">
        <f t="shared" ca="1" si="29"/>
        <v/>
      </c>
      <c r="K69" s="271" t="str">
        <f t="shared" ca="1" si="29"/>
        <v/>
      </c>
      <c r="L69" s="273">
        <f t="shared" ca="1" si="20"/>
        <v>2959.4512195121952</v>
      </c>
      <c r="M69" s="95"/>
      <c r="N69" s="59"/>
      <c r="O69" s="50"/>
      <c r="P69" s="50"/>
    </row>
    <row r="70" spans="1:16" s="14" customFormat="1" ht="15" customHeight="1" x14ac:dyDescent="0.35">
      <c r="A70" s="50"/>
      <c r="B70" s="11" t="s">
        <v>88</v>
      </c>
      <c r="C70" s="264"/>
      <c r="D70" s="258">
        <f ca="1">SUM(D65:D69)</f>
        <v>7127.8589943044808</v>
      </c>
      <c r="E70" s="173">
        <f t="shared" ref="E70:K70" ca="1" si="30">SUM(E65:E69)</f>
        <v>0</v>
      </c>
      <c r="F70" s="173">
        <f t="shared" ca="1" si="30"/>
        <v>0</v>
      </c>
      <c r="G70" s="173">
        <f t="shared" ca="1" si="30"/>
        <v>0</v>
      </c>
      <c r="H70" s="173">
        <f t="shared" ca="1" si="30"/>
        <v>0</v>
      </c>
      <c r="I70" s="173">
        <f t="shared" ca="1" si="30"/>
        <v>0</v>
      </c>
      <c r="J70" s="173">
        <f t="shared" ca="1" si="30"/>
        <v>0</v>
      </c>
      <c r="K70" s="231">
        <f t="shared" ca="1" si="30"/>
        <v>0</v>
      </c>
      <c r="L70" s="274">
        <f t="shared" ca="1" si="20"/>
        <v>7127.8589943044808</v>
      </c>
      <c r="M70" s="95"/>
      <c r="N70" s="59"/>
      <c r="O70" s="50"/>
      <c r="P70" s="50"/>
    </row>
    <row r="71" spans="1:16" s="14" customFormat="1" ht="15" customHeight="1" thickBot="1" x14ac:dyDescent="0.4">
      <c r="A71" s="50"/>
      <c r="B71" s="193" t="s">
        <v>4</v>
      </c>
      <c r="C71" s="265">
        <f>SUM(C70,C64,C59,C55)</f>
        <v>0</v>
      </c>
      <c r="D71" s="259"/>
      <c r="E71" s="175"/>
      <c r="F71" s="174"/>
      <c r="G71" s="175"/>
      <c r="H71" s="174"/>
      <c r="I71" s="175"/>
      <c r="J71" s="174"/>
      <c r="K71" s="175"/>
      <c r="L71" s="273">
        <f t="shared" si="20"/>
        <v>0</v>
      </c>
      <c r="M71" s="95"/>
      <c r="N71" s="59"/>
      <c r="O71" s="50"/>
      <c r="P71" s="50"/>
    </row>
    <row r="72" spans="1:16" s="14" customFormat="1" ht="15" customHeight="1" thickBot="1" x14ac:dyDescent="0.4">
      <c r="A72" s="50"/>
      <c r="B72" s="200" t="s">
        <v>45</v>
      </c>
      <c r="C72" s="443" t="s">
        <v>45</v>
      </c>
      <c r="D72" s="444"/>
      <c r="E72" s="444"/>
      <c r="F72" s="444"/>
      <c r="G72" s="444"/>
      <c r="H72" s="444"/>
      <c r="I72" s="444"/>
      <c r="J72" s="444"/>
      <c r="K72" s="444"/>
      <c r="L72" s="445"/>
      <c r="M72" s="95"/>
      <c r="N72" s="59"/>
      <c r="O72" s="50"/>
      <c r="P72" s="50"/>
    </row>
    <row r="73" spans="1:16" s="14" customFormat="1" ht="15" customHeight="1" x14ac:dyDescent="0.35">
      <c r="A73" s="50"/>
      <c r="B73" s="193" t="s">
        <v>46</v>
      </c>
      <c r="C73" s="268"/>
      <c r="D73" s="240">
        <f t="shared" ref="D73:K73" ca="1" si="31">IFERROR(D22/D48,"")</f>
        <v>39.568076914149295</v>
      </c>
      <c r="E73" s="27" t="str">
        <f t="shared" ca="1" si="31"/>
        <v/>
      </c>
      <c r="F73" s="171" t="str">
        <f t="shared" ca="1" si="31"/>
        <v/>
      </c>
      <c r="G73" s="27" t="str">
        <f t="shared" ca="1" si="31"/>
        <v/>
      </c>
      <c r="H73" s="171" t="str">
        <f t="shared" ca="1" si="31"/>
        <v/>
      </c>
      <c r="I73" s="27" t="str">
        <f t="shared" ca="1" si="31"/>
        <v/>
      </c>
      <c r="J73" s="171" t="str">
        <f t="shared" ca="1" si="31"/>
        <v/>
      </c>
      <c r="K73" s="27" t="str">
        <f t="shared" ca="1" si="31"/>
        <v/>
      </c>
      <c r="L73" s="272">
        <f t="shared" ca="1" si="12"/>
        <v>39.568076914149295</v>
      </c>
      <c r="M73" s="95"/>
      <c r="N73" s="59"/>
      <c r="O73" s="50"/>
      <c r="P73" s="50"/>
    </row>
    <row r="74" spans="1:16" s="14" customFormat="1" ht="15" customHeight="1" thickBot="1" x14ac:dyDescent="0.4">
      <c r="A74" s="50"/>
      <c r="B74" s="10" t="s">
        <v>47</v>
      </c>
      <c r="C74" s="269">
        <f>C73</f>
        <v>0</v>
      </c>
      <c r="D74" s="241">
        <f ca="1">IFERROR(D23/SUM(D$48:$E48),"")</f>
        <v>39.568076914149295</v>
      </c>
      <c r="E74" s="82" t="str">
        <f ca="1">IFERROR(E23/SUM($E$48:E48),"")</f>
        <v/>
      </c>
      <c r="F74" s="172" t="str">
        <f ca="1">IFERROR(F23/SUM($E$48:F48),"")</f>
        <v/>
      </c>
      <c r="G74" s="82" t="str">
        <f ca="1">IFERROR(G23/SUM($E$48:G48),"")</f>
        <v/>
      </c>
      <c r="H74" s="172" t="str">
        <f ca="1">IFERROR(H23/SUM($E$48:H48),"")</f>
        <v/>
      </c>
      <c r="I74" s="82" t="str">
        <f ca="1">IFERROR(I23/SUM($E$48:I48),"")</f>
        <v/>
      </c>
      <c r="J74" s="172" t="str">
        <f ca="1">IFERROR(J23/SUM($E$48:J48),"")</f>
        <v/>
      </c>
      <c r="K74" s="82" t="str">
        <f ca="1">IFERROR(K23/SUM($E$48:K48),"")</f>
        <v/>
      </c>
      <c r="L74" s="275">
        <f t="shared" ca="1" si="12"/>
        <v>39.568076914149295</v>
      </c>
      <c r="M74" s="95"/>
      <c r="N74" s="95"/>
      <c r="O74" s="50"/>
      <c r="P74" s="50"/>
    </row>
    <row r="75" spans="1:16" s="50" customFormat="1" ht="15" thickTop="1" x14ac:dyDescent="0.35"/>
    <row r="76" spans="1:16" s="50" customFormat="1" x14ac:dyDescent="0.35"/>
    <row r="77" spans="1:16" s="50" customFormat="1" x14ac:dyDescent="0.35">
      <c r="B77" s="85"/>
    </row>
    <row r="78" spans="1:16" s="50" customFormat="1" ht="15" customHeight="1" x14ac:dyDescent="0.35">
      <c r="B78" s="96"/>
      <c r="C78" s="96"/>
      <c r="D78" s="96"/>
      <c r="E78" s="96"/>
      <c r="F78" s="96"/>
      <c r="G78" s="96"/>
      <c r="H78" s="96"/>
      <c r="I78" s="96"/>
      <c r="J78" s="96"/>
      <c r="K78" s="96"/>
    </row>
    <row r="79" spans="1:16" hidden="1" x14ac:dyDescent="0.35">
      <c r="B79" s="96"/>
      <c r="C79" s="96"/>
      <c r="D79" s="96"/>
      <c r="E79" s="96"/>
      <c r="F79" s="96"/>
      <c r="G79" s="96"/>
      <c r="H79" s="96"/>
      <c r="I79" s="96"/>
      <c r="J79" s="96"/>
      <c r="K79" s="96"/>
      <c r="L79" s="50"/>
    </row>
    <row r="80" spans="1:16" hidden="1" x14ac:dyDescent="0.35"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</row>
    <row r="81" spans="1:21" s="17" customFormat="1" hidden="1" x14ac:dyDescent="0.3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84"/>
      <c r="N81" s="57"/>
      <c r="O81" s="57"/>
      <c r="P81" s="57"/>
      <c r="T81" s="18"/>
    </row>
    <row r="82" spans="1:21" s="17" customFormat="1" hidden="1" x14ac:dyDescent="0.3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84"/>
      <c r="O82" s="57"/>
      <c r="P82" s="57"/>
      <c r="U82" s="18"/>
    </row>
    <row r="83" spans="1:21" s="17" customFormat="1" hidden="1" x14ac:dyDescent="0.3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84"/>
      <c r="O83" s="57"/>
      <c r="P83" s="57"/>
      <c r="U83" s="18"/>
    </row>
    <row r="84" spans="1:21" s="17" customFormat="1" hidden="1" x14ac:dyDescent="0.3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84"/>
      <c r="O84" s="57"/>
      <c r="P84" s="57"/>
      <c r="U84" s="18"/>
    </row>
    <row r="85" spans="1:21" s="17" customFormat="1" hidden="1" x14ac:dyDescent="0.3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84"/>
      <c r="O85" s="57"/>
      <c r="P85" s="57"/>
      <c r="U85" s="18"/>
    </row>
    <row r="86" spans="1:21" s="17" customFormat="1" hidden="1" x14ac:dyDescent="0.3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84"/>
      <c r="O86" s="57"/>
      <c r="P86" s="57"/>
      <c r="U86" s="18"/>
    </row>
    <row r="87" spans="1:21" s="17" customFormat="1" hidden="1" x14ac:dyDescent="0.3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84"/>
      <c r="O87" s="57"/>
      <c r="P87" s="57"/>
      <c r="U87" s="18"/>
    </row>
    <row r="88" spans="1:21" s="17" customFormat="1" hidden="1" x14ac:dyDescent="0.3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84"/>
      <c r="O88" s="57"/>
      <c r="P88" s="57"/>
      <c r="U88" s="18"/>
    </row>
    <row r="89" spans="1:21" s="17" customFormat="1" hidden="1" x14ac:dyDescent="0.3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84"/>
      <c r="O89" s="57"/>
      <c r="P89" s="57"/>
    </row>
    <row r="90" spans="1:21" hidden="1" x14ac:dyDescent="0.35"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</row>
    <row r="91" spans="1:21" hidden="1" x14ac:dyDescent="0.35"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</row>
    <row r="92" spans="1:21" hidden="1" x14ac:dyDescent="0.35"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</row>
    <row r="93" spans="1:21" hidden="1" x14ac:dyDescent="0.35"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</row>
    <row r="94" spans="1:21" hidden="1" x14ac:dyDescent="0.35"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</row>
    <row r="95" spans="1:21" hidden="1" x14ac:dyDescent="0.35"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</row>
    <row r="96" spans="1:21" hidden="1" x14ac:dyDescent="0.35"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</row>
    <row r="97" spans="2:12" hidden="1" x14ac:dyDescent="0.35"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</row>
    <row r="98" spans="2:12" hidden="1" x14ac:dyDescent="0.35"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</row>
    <row r="99" spans="2:12" hidden="1" x14ac:dyDescent="0.35"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</row>
    <row r="100" spans="2:12" hidden="1" x14ac:dyDescent="0.35"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</row>
    <row r="101" spans="2:12" hidden="1" x14ac:dyDescent="0.35"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</row>
    <row r="102" spans="2:12" hidden="1" x14ac:dyDescent="0.35"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</row>
    <row r="103" spans="2:12" hidden="1" x14ac:dyDescent="0.35"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</row>
    <row r="104" spans="2:12" hidden="1" x14ac:dyDescent="0.35"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</row>
    <row r="105" spans="2:12" hidden="1" x14ac:dyDescent="0.35"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</row>
    <row r="106" spans="2:12" hidden="1" x14ac:dyDescent="0.35">
      <c r="B106" s="50"/>
      <c r="C106" s="50"/>
      <c r="D106" s="50"/>
      <c r="E106" s="50"/>
      <c r="F106" s="50"/>
      <c r="G106" s="50"/>
      <c r="H106" s="50"/>
      <c r="I106" s="50"/>
      <c r="J106" s="50"/>
      <c r="K106" s="50"/>
      <c r="L106" s="50"/>
    </row>
    <row r="107" spans="2:12" hidden="1" x14ac:dyDescent="0.35">
      <c r="B107" s="50"/>
      <c r="C107" s="50"/>
      <c r="D107" s="50"/>
      <c r="E107" s="50"/>
      <c r="F107" s="50"/>
      <c r="G107" s="50"/>
      <c r="H107" s="50"/>
      <c r="I107" s="50"/>
      <c r="J107" s="50"/>
      <c r="K107" s="50"/>
      <c r="L107" s="50"/>
    </row>
    <row r="108" spans="2:12" hidden="1" x14ac:dyDescent="0.35">
      <c r="B108" s="50"/>
      <c r="C108" s="50"/>
      <c r="D108" s="50"/>
      <c r="E108" s="50"/>
      <c r="F108" s="50"/>
      <c r="G108" s="50"/>
      <c r="H108" s="50"/>
      <c r="I108" s="50"/>
      <c r="J108" s="50"/>
      <c r="K108" s="50"/>
      <c r="L108" s="50"/>
    </row>
    <row r="109" spans="2:12" hidden="1" x14ac:dyDescent="0.35"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</row>
    <row r="110" spans="2:12" hidden="1" x14ac:dyDescent="0.35"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</row>
    <row r="111" spans="2:12" hidden="1" x14ac:dyDescent="0.35"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</row>
    <row r="112" spans="2:12" hidden="1" x14ac:dyDescent="0.35"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</row>
    <row r="113" spans="2:12" hidden="1" x14ac:dyDescent="0.35"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</row>
    <row r="114" spans="2:12" hidden="1" x14ac:dyDescent="0.35"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</row>
    <row r="115" spans="2:12" hidden="1" x14ac:dyDescent="0.35">
      <c r="B115" s="50"/>
      <c r="C115" s="50"/>
      <c r="D115" s="50"/>
      <c r="E115" s="50"/>
      <c r="F115" s="50"/>
      <c r="G115" s="50"/>
      <c r="H115" s="50"/>
      <c r="I115" s="50"/>
      <c r="J115" s="50"/>
      <c r="K115" s="50"/>
      <c r="L115" s="50"/>
    </row>
    <row r="116" spans="2:12" hidden="1" x14ac:dyDescent="0.35">
      <c r="B116" s="50"/>
      <c r="C116" s="50"/>
      <c r="D116" s="50"/>
      <c r="E116" s="50"/>
      <c r="F116" s="50"/>
      <c r="G116" s="50"/>
      <c r="H116" s="50"/>
      <c r="I116" s="50"/>
      <c r="J116" s="50"/>
      <c r="K116" s="50"/>
      <c r="L116" s="50"/>
    </row>
    <row r="117" spans="2:12" hidden="1" x14ac:dyDescent="0.35">
      <c r="B117" s="50"/>
      <c r="C117" s="50"/>
      <c r="D117" s="50"/>
      <c r="E117" s="50"/>
      <c r="F117" s="50"/>
      <c r="G117" s="50"/>
      <c r="H117" s="50"/>
      <c r="I117" s="50"/>
      <c r="J117" s="50"/>
      <c r="K117" s="50"/>
      <c r="L117" s="50"/>
    </row>
    <row r="118" spans="2:12" hidden="1" x14ac:dyDescent="0.35">
      <c r="B118" s="50"/>
      <c r="C118" s="50"/>
      <c r="D118" s="50"/>
      <c r="E118" s="50"/>
      <c r="F118" s="50"/>
      <c r="G118" s="50"/>
      <c r="H118" s="50"/>
      <c r="I118" s="50"/>
      <c r="J118" s="50"/>
      <c r="K118" s="50"/>
      <c r="L118" s="50"/>
    </row>
    <row r="119" spans="2:12" hidden="1" x14ac:dyDescent="0.35">
      <c r="B119" s="50"/>
      <c r="C119" s="50"/>
      <c r="D119" s="50"/>
      <c r="E119" s="50"/>
      <c r="F119" s="50"/>
      <c r="G119" s="50"/>
      <c r="H119" s="50"/>
      <c r="I119" s="50"/>
      <c r="J119" s="50"/>
      <c r="K119" s="50"/>
      <c r="L119" s="50"/>
    </row>
    <row r="120" spans="2:12" hidden="1" x14ac:dyDescent="0.35"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</row>
    <row r="121" spans="2:12" x14ac:dyDescent="0.35"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</row>
    <row r="122" spans="2:12" x14ac:dyDescent="0.35">
      <c r="B122" s="50"/>
      <c r="C122" s="50"/>
      <c r="D122" s="50"/>
      <c r="E122" s="50"/>
      <c r="F122" s="50"/>
      <c r="G122" s="50"/>
      <c r="H122" s="50"/>
      <c r="I122" s="50"/>
      <c r="J122" s="50"/>
      <c r="K122" s="50"/>
      <c r="L122" s="50"/>
    </row>
    <row r="123" spans="2:12" x14ac:dyDescent="0.35">
      <c r="B123" s="50"/>
      <c r="C123" s="50"/>
      <c r="D123" s="50"/>
      <c r="E123" s="50"/>
      <c r="F123" s="50"/>
      <c r="G123" s="50"/>
      <c r="H123" s="50"/>
      <c r="I123" s="50"/>
      <c r="J123" s="50"/>
      <c r="K123" s="50"/>
      <c r="L123" s="50"/>
    </row>
    <row r="124" spans="2:12" x14ac:dyDescent="0.35">
      <c r="B124" s="50"/>
      <c r="C124" s="50"/>
      <c r="D124" s="50"/>
      <c r="E124" s="50"/>
      <c r="F124" s="50"/>
      <c r="G124" s="50"/>
      <c r="H124" s="50"/>
      <c r="I124" s="50"/>
      <c r="J124" s="50"/>
      <c r="K124" s="50"/>
      <c r="L124" s="50"/>
    </row>
    <row r="125" spans="2:12" x14ac:dyDescent="0.35">
      <c r="B125" s="50"/>
      <c r="C125" s="50"/>
      <c r="D125" s="50"/>
      <c r="E125" s="50"/>
      <c r="F125" s="50"/>
      <c r="G125" s="50"/>
      <c r="H125" s="50"/>
      <c r="I125" s="50"/>
      <c r="J125" s="50"/>
      <c r="K125" s="50"/>
      <c r="L125" s="50"/>
    </row>
    <row r="126" spans="2:12" x14ac:dyDescent="0.35"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</row>
    <row r="127" spans="2:12" x14ac:dyDescent="0.35"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</row>
    <row r="128" spans="2:12" x14ac:dyDescent="0.35"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</row>
    <row r="129" spans="2:12" x14ac:dyDescent="0.35">
      <c r="B129" s="50"/>
      <c r="C129" s="50"/>
      <c r="D129" s="50"/>
      <c r="E129" s="50"/>
      <c r="F129" s="50"/>
      <c r="G129" s="50"/>
      <c r="H129" s="50"/>
      <c r="I129" s="50"/>
      <c r="J129" s="50"/>
      <c r="K129" s="50"/>
      <c r="L129" s="50"/>
    </row>
    <row r="130" spans="2:12" x14ac:dyDescent="0.35">
      <c r="B130" s="50"/>
      <c r="C130" s="50"/>
      <c r="D130" s="50"/>
      <c r="E130" s="50"/>
      <c r="F130" s="50"/>
      <c r="G130" s="50"/>
      <c r="H130" s="50"/>
      <c r="I130" s="50"/>
      <c r="J130" s="50"/>
      <c r="K130" s="50"/>
      <c r="L130" s="50"/>
    </row>
    <row r="131" spans="2:12" x14ac:dyDescent="0.35">
      <c r="B131" s="50"/>
      <c r="C131" s="50"/>
      <c r="D131" s="50"/>
      <c r="E131" s="50"/>
      <c r="F131" s="50"/>
      <c r="G131" s="50"/>
      <c r="H131" s="50"/>
      <c r="I131" s="50"/>
      <c r="J131" s="50"/>
      <c r="K131" s="50"/>
      <c r="L131" s="50"/>
    </row>
    <row r="132" spans="2:12" x14ac:dyDescent="0.35">
      <c r="B132" s="50"/>
      <c r="C132" s="50"/>
      <c r="D132" s="50"/>
      <c r="E132" s="50"/>
      <c r="F132" s="50"/>
      <c r="G132" s="50"/>
      <c r="H132" s="50"/>
      <c r="I132" s="50"/>
      <c r="J132" s="50"/>
      <c r="K132" s="50"/>
      <c r="L132" s="50"/>
    </row>
    <row r="133" spans="2:12" x14ac:dyDescent="0.35">
      <c r="B133" s="50"/>
      <c r="C133" s="50"/>
      <c r="D133" s="50"/>
      <c r="E133" s="50"/>
      <c r="F133" s="50"/>
      <c r="G133" s="50"/>
      <c r="H133" s="50"/>
      <c r="I133" s="50"/>
      <c r="J133" s="50"/>
      <c r="K133" s="50"/>
      <c r="L133" s="50"/>
    </row>
    <row r="134" spans="2:12" x14ac:dyDescent="0.35">
      <c r="B134" s="50"/>
      <c r="C134" s="50"/>
      <c r="D134" s="50"/>
      <c r="E134" s="50"/>
      <c r="F134" s="50"/>
      <c r="G134" s="50"/>
      <c r="H134" s="50"/>
      <c r="I134" s="50"/>
      <c r="J134" s="50"/>
      <c r="K134" s="50"/>
      <c r="L134" s="50"/>
    </row>
    <row r="135" spans="2:12" x14ac:dyDescent="0.35">
      <c r="B135" s="50"/>
      <c r="C135" s="50"/>
      <c r="D135" s="50"/>
      <c r="E135" s="50"/>
      <c r="F135" s="50"/>
      <c r="G135" s="50"/>
      <c r="H135" s="50"/>
      <c r="I135" s="50"/>
      <c r="J135" s="50"/>
      <c r="K135" s="50"/>
      <c r="L135" s="50"/>
    </row>
    <row r="136" spans="2:12" x14ac:dyDescent="0.35">
      <c r="B136" s="50"/>
      <c r="C136" s="50"/>
      <c r="D136" s="50"/>
      <c r="E136" s="50"/>
      <c r="F136" s="50"/>
      <c r="G136" s="50"/>
      <c r="H136" s="50"/>
      <c r="I136" s="50"/>
      <c r="J136" s="50"/>
      <c r="K136" s="50"/>
      <c r="L136" s="50"/>
    </row>
    <row r="137" spans="2:12" x14ac:dyDescent="0.35">
      <c r="B137" s="50"/>
      <c r="C137" s="50"/>
      <c r="D137" s="50"/>
      <c r="E137" s="50"/>
      <c r="F137" s="50"/>
      <c r="G137" s="50"/>
      <c r="H137" s="50"/>
      <c r="I137" s="50"/>
      <c r="J137" s="50"/>
      <c r="K137" s="50"/>
      <c r="L137" s="50"/>
    </row>
    <row r="138" spans="2:12" x14ac:dyDescent="0.35">
      <c r="B138" s="50"/>
      <c r="C138" s="50"/>
      <c r="D138" s="50"/>
      <c r="E138" s="50"/>
      <c r="F138" s="50"/>
      <c r="G138" s="50"/>
      <c r="H138" s="50"/>
      <c r="I138" s="50"/>
      <c r="J138" s="50"/>
      <c r="K138" s="50"/>
      <c r="L138" s="50"/>
    </row>
    <row r="139" spans="2:12" x14ac:dyDescent="0.35">
      <c r="B139" s="50"/>
      <c r="C139" s="50"/>
      <c r="D139" s="50"/>
      <c r="E139" s="50"/>
      <c r="F139" s="50"/>
      <c r="G139" s="50"/>
      <c r="H139" s="50"/>
      <c r="I139" s="50"/>
      <c r="J139" s="50"/>
      <c r="K139" s="50"/>
      <c r="L139" s="50"/>
    </row>
    <row r="140" spans="2:12" x14ac:dyDescent="0.35">
      <c r="B140" s="50"/>
      <c r="C140" s="50"/>
      <c r="D140" s="50"/>
      <c r="E140" s="50"/>
      <c r="F140" s="50"/>
      <c r="G140" s="50"/>
      <c r="H140" s="50"/>
      <c r="I140" s="50"/>
      <c r="J140" s="50"/>
      <c r="K140" s="50"/>
      <c r="L140" s="50"/>
    </row>
    <row r="141" spans="2:12" x14ac:dyDescent="0.35">
      <c r="B141" s="50"/>
      <c r="C141" s="50"/>
      <c r="D141" s="50"/>
      <c r="E141" s="50"/>
      <c r="F141" s="50"/>
      <c r="G141" s="50"/>
      <c r="H141" s="50"/>
      <c r="I141" s="50"/>
      <c r="J141" s="50"/>
      <c r="K141" s="50"/>
      <c r="L141" s="50"/>
    </row>
    <row r="142" spans="2:12" x14ac:dyDescent="0.35">
      <c r="B142" s="50"/>
      <c r="C142" s="50"/>
      <c r="D142" s="50"/>
      <c r="E142" s="50"/>
      <c r="F142" s="50"/>
      <c r="G142" s="50"/>
      <c r="H142" s="50"/>
      <c r="I142" s="50"/>
      <c r="J142" s="50"/>
      <c r="K142" s="50"/>
      <c r="L142" s="50"/>
    </row>
    <row r="143" spans="2:12" x14ac:dyDescent="0.35"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</row>
    <row r="144" spans="2:12" x14ac:dyDescent="0.35"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</row>
    <row r="145" spans="2:12" x14ac:dyDescent="0.35"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</row>
  </sheetData>
  <dataConsolidate/>
  <mergeCells count="11">
    <mergeCell ref="C72:L72"/>
    <mergeCell ref="B7:L9"/>
    <mergeCell ref="B1:C1"/>
    <mergeCell ref="C14:L14"/>
    <mergeCell ref="C12:L12"/>
    <mergeCell ref="B5:L5"/>
    <mergeCell ref="B6:L6"/>
    <mergeCell ref="C49:L49"/>
    <mergeCell ref="C21:L21"/>
    <mergeCell ref="C26:L26"/>
    <mergeCell ref="C24:L24"/>
  </mergeCells>
  <conditionalFormatting sqref="D16:K16">
    <cfRule type="cellIs" dxfId="136" priority="160" operator="lessThan">
      <formula>$D$15*0.95</formula>
    </cfRule>
  </conditionalFormatting>
  <conditionalFormatting sqref="F28">
    <cfRule type="expression" dxfId="135" priority="149">
      <formula>(AND(ISNUMBER($C28),(IF(F28="",0,F28)&gt;$C28)=TRUE))</formula>
    </cfRule>
  </conditionalFormatting>
  <conditionalFormatting sqref="E28">
    <cfRule type="expression" dxfId="134" priority="148">
      <formula>(AND(ISNUMBER($C28),(IF(E28="",0,E28)&gt;$C28)=TRUE))</formula>
    </cfRule>
  </conditionalFormatting>
  <conditionalFormatting sqref="E29">
    <cfRule type="expression" dxfId="133" priority="145">
      <formula>(AND(ISNUMBER($C29),(IF(E29="",0,E29)&gt;$C29)=TRUE))</formula>
    </cfRule>
  </conditionalFormatting>
  <conditionalFormatting sqref="F29">
    <cfRule type="expression" dxfId="132" priority="144">
      <formula>(AND(ISNUMBER($C29),(IF(F29="",0,F29)&gt;$C29)=TRUE))</formula>
    </cfRule>
  </conditionalFormatting>
  <conditionalFormatting sqref="F30">
    <cfRule type="expression" dxfId="131" priority="143">
      <formula>(AND(ISNUMBER($C30),(IF(F30="",0,F30)&gt;$C30)=TRUE))</formula>
    </cfRule>
  </conditionalFormatting>
  <conditionalFormatting sqref="E30">
    <cfRule type="expression" dxfId="130" priority="142">
      <formula>(AND(ISNUMBER($C30),(IF(E30="",0,E30)&gt;$C30)=TRUE))</formula>
    </cfRule>
  </conditionalFormatting>
  <conditionalFormatting sqref="E31">
    <cfRule type="expression" dxfId="129" priority="139">
      <formula>(AND(ISNUMBER($C31),(IF(E31="",0,E31)&gt;$C31)=TRUE))</formula>
    </cfRule>
  </conditionalFormatting>
  <conditionalFormatting sqref="F31">
    <cfRule type="expression" dxfId="128" priority="138">
      <formula>(AND(ISNUMBER($C31),(IF(F31="",0,F31)&gt;$C31)=TRUE))</formula>
    </cfRule>
  </conditionalFormatting>
  <conditionalFormatting sqref="G28">
    <cfRule type="expression" dxfId="127" priority="137">
      <formula>(AND(ISNUMBER($C28),(IF(G28="",0,G28)&gt;$C28)=TRUE))</formula>
    </cfRule>
  </conditionalFormatting>
  <conditionalFormatting sqref="H28">
    <cfRule type="expression" dxfId="126" priority="128">
      <formula>(AND(ISNUMBER($C28),(IF(H28="",0,H28)&gt;$C28)=TRUE))</formula>
    </cfRule>
  </conditionalFormatting>
  <conditionalFormatting sqref="H29">
    <cfRule type="expression" dxfId="125" priority="127">
      <formula>(AND(ISNUMBER($C29),(IF(H29="",0,H29)&gt;$C29)=TRUE))</formula>
    </cfRule>
  </conditionalFormatting>
  <conditionalFormatting sqref="G29">
    <cfRule type="expression" dxfId="124" priority="126">
      <formula>(AND(ISNUMBER($C29),(IF(G29="",0,G29)&gt;$C29)=TRUE))</formula>
    </cfRule>
  </conditionalFormatting>
  <conditionalFormatting sqref="G30">
    <cfRule type="expression" dxfId="123" priority="125">
      <formula>(AND(ISNUMBER($C30),(IF(G30="",0,G30)&gt;$C30)=TRUE))</formula>
    </cfRule>
  </conditionalFormatting>
  <conditionalFormatting sqref="H30">
    <cfRule type="expression" dxfId="122" priority="124">
      <formula>(AND(ISNUMBER($C30),(IF(H30="",0,H30)&gt;$C30)=TRUE))</formula>
    </cfRule>
  </conditionalFormatting>
  <conditionalFormatting sqref="G31">
    <cfRule type="expression" dxfId="121" priority="122">
      <formula>(AND(ISNUMBER($C31),(IF(G31="",0,G31)&gt;$C31)=TRUE))</formula>
    </cfRule>
  </conditionalFormatting>
  <conditionalFormatting sqref="H31">
    <cfRule type="expression" dxfId="120" priority="121">
      <formula>(AND(ISNUMBER($C31),(IF(H31="",0,H31)&gt;$C31)=TRUE))</formula>
    </cfRule>
  </conditionalFormatting>
  <conditionalFormatting sqref="I31">
    <cfRule type="expression" dxfId="119" priority="120">
      <formula>(AND(ISNUMBER($C31),(IF(I31="",0,I31)&gt;$C31)=TRUE))</formula>
    </cfRule>
  </conditionalFormatting>
  <conditionalFormatting sqref="I30">
    <cfRule type="expression" dxfId="118" priority="119">
      <formula>(AND(ISNUMBER($C30),(IF(I30="",0,I30)&gt;$C30)=TRUE))</formula>
    </cfRule>
  </conditionalFormatting>
  <conditionalFormatting sqref="I29">
    <cfRule type="expression" dxfId="117" priority="118">
      <formula>(AND(ISNUMBER($C29),(IF(I29="",0,I29)&gt;$C29)=TRUE))</formula>
    </cfRule>
  </conditionalFormatting>
  <conditionalFormatting sqref="I28">
    <cfRule type="expression" dxfId="116" priority="117">
      <formula>(AND(ISNUMBER($C28),(IF(I28="",0,I28)&gt;$C28)=TRUE))</formula>
    </cfRule>
  </conditionalFormatting>
  <conditionalFormatting sqref="J28">
    <cfRule type="expression" dxfId="115" priority="116">
      <formula>(AND(ISNUMBER($C28),(IF(J28="",0,J28)&gt;$C28)=TRUE))</formula>
    </cfRule>
  </conditionalFormatting>
  <conditionalFormatting sqref="J29">
    <cfRule type="expression" dxfId="114" priority="115">
      <formula>(AND(ISNUMBER($C29),(IF(J29="",0,J29)&gt;$C29)=TRUE))</formula>
    </cfRule>
  </conditionalFormatting>
  <conditionalFormatting sqref="J30">
    <cfRule type="expression" dxfId="113" priority="114">
      <formula>(AND(ISNUMBER($C30),(IF(J30="",0,J30)&gt;$C30)=TRUE))</formula>
    </cfRule>
  </conditionalFormatting>
  <conditionalFormatting sqref="J31">
    <cfRule type="expression" dxfId="112" priority="113">
      <formula>(AND(ISNUMBER($C31),(IF(J31="",0,J31)&gt;$C31)=TRUE))</formula>
    </cfRule>
  </conditionalFormatting>
  <conditionalFormatting sqref="K31">
    <cfRule type="expression" dxfId="111" priority="112">
      <formula>(AND(ISNUMBER($C31),(IF(K31="",0,K31)&gt;$C31)=TRUE))</formula>
    </cfRule>
  </conditionalFormatting>
  <conditionalFormatting sqref="K30">
    <cfRule type="expression" dxfId="110" priority="111">
      <formula>(AND(ISNUMBER($C30),(IF(K30="",0,K30)&gt;$C30)=TRUE))</formula>
    </cfRule>
  </conditionalFormatting>
  <conditionalFormatting sqref="K29">
    <cfRule type="expression" dxfId="109" priority="110">
      <formula>(AND(ISNUMBER($C29),(IF(K29="",0,K29)&gt;$C29)=TRUE))</formula>
    </cfRule>
  </conditionalFormatting>
  <conditionalFormatting sqref="K28">
    <cfRule type="expression" dxfId="108" priority="109">
      <formula>(AND(ISNUMBER($C28),(IF(K28="",0,K28)&gt;$C28)=TRUE))</formula>
    </cfRule>
  </conditionalFormatting>
  <conditionalFormatting sqref="K27">
    <cfRule type="expression" dxfId="107" priority="108">
      <formula>(AND(ISNUMBER($C27),(IF(K27="",0,K27)&gt;$C27)=TRUE))</formula>
    </cfRule>
  </conditionalFormatting>
  <conditionalFormatting sqref="J27">
    <cfRule type="expression" dxfId="106" priority="107">
      <formula>(AND(ISNUMBER($C27),(IF(J27="",0,J27)&gt;$C27)=TRUE))</formula>
    </cfRule>
  </conditionalFormatting>
  <conditionalFormatting sqref="I27">
    <cfRule type="expression" dxfId="105" priority="106">
      <formula>(AND(ISNUMBER($C27),(IF(I27="",0,I27)&gt;$C27)=TRUE))</formula>
    </cfRule>
  </conditionalFormatting>
  <conditionalFormatting sqref="H27">
    <cfRule type="expression" dxfId="104" priority="105">
      <formula>(AND(ISNUMBER($C27),(IF(H27="",0,H27)&gt;$C27)=TRUE))</formula>
    </cfRule>
  </conditionalFormatting>
  <conditionalFormatting sqref="G27">
    <cfRule type="expression" dxfId="103" priority="104">
      <formula>(AND(ISNUMBER($C27),(IF(G27="",0,G27)&gt;$C27)=TRUE))</formula>
    </cfRule>
  </conditionalFormatting>
  <conditionalFormatting sqref="F27">
    <cfRule type="expression" dxfId="102" priority="103">
      <formula>(AND(ISNUMBER($C27),(IF(F27="",0,F27)&gt;$C27)=TRUE))</formula>
    </cfRule>
  </conditionalFormatting>
  <conditionalFormatting sqref="E27">
    <cfRule type="expression" dxfId="101" priority="102">
      <formula>(AND(ISNUMBER($C27),(IF(E27="",0,E27)&gt;$C27)=TRUE))</formula>
    </cfRule>
  </conditionalFormatting>
  <conditionalFormatting sqref="D27">
    <cfRule type="expression" dxfId="100" priority="101">
      <formula>(AND(ISNUMBER($C27),(IF(D27="",0,D27)&gt;$C27)=TRUE))</formula>
    </cfRule>
  </conditionalFormatting>
  <conditionalFormatting sqref="D28">
    <cfRule type="expression" dxfId="99" priority="100">
      <formula>(AND(ISNUMBER($C28),(IF(D28="",0,D28)&gt;$C28)=TRUE))</formula>
    </cfRule>
  </conditionalFormatting>
  <conditionalFormatting sqref="D29">
    <cfRule type="expression" dxfId="98" priority="99">
      <formula>(AND(ISNUMBER($C29),(IF(D29="",0,D29)&gt;$C29)=TRUE))</formula>
    </cfRule>
  </conditionalFormatting>
  <conditionalFormatting sqref="D30">
    <cfRule type="expression" dxfId="97" priority="98">
      <formula>(AND(ISNUMBER($C30),(IF(D30="",0,D30)&gt;$C30)=TRUE))</formula>
    </cfRule>
  </conditionalFormatting>
  <conditionalFormatting sqref="D31">
    <cfRule type="expression" dxfId="96" priority="97">
      <formula>(AND(ISNUMBER($C31),(IF(D31="",0,D31)&gt;$C31)=TRUE))</formula>
    </cfRule>
  </conditionalFormatting>
  <conditionalFormatting sqref="D33">
    <cfRule type="expression" dxfId="95" priority="96">
      <formula>(AND(ISNUMBER($C33),(IF(D33="",0,D33)&gt;$C33)=TRUE))</formula>
    </cfRule>
  </conditionalFormatting>
  <conditionalFormatting sqref="D34">
    <cfRule type="expression" dxfId="94" priority="95">
      <formula>(AND(ISNUMBER($C34),(IF(D34="",0,D34)&gt;$C34)=TRUE))</formula>
    </cfRule>
  </conditionalFormatting>
  <conditionalFormatting sqref="D35">
    <cfRule type="expression" dxfId="93" priority="94">
      <formula>(AND(ISNUMBER($C35),(IF(D35="",0,D35)&gt;$C35)=TRUE))</formula>
    </cfRule>
  </conditionalFormatting>
  <conditionalFormatting sqref="E35">
    <cfRule type="expression" dxfId="92" priority="93">
      <formula>(AND(ISNUMBER($C35),(IF(E35="",0,E35)&gt;$C35)=TRUE))</formula>
    </cfRule>
  </conditionalFormatting>
  <conditionalFormatting sqref="E34">
    <cfRule type="expression" dxfId="91" priority="92">
      <formula>(AND(ISNUMBER($C34),(IF(E34="",0,E34)&gt;$C34)=TRUE))</formula>
    </cfRule>
  </conditionalFormatting>
  <conditionalFormatting sqref="E33">
    <cfRule type="expression" dxfId="90" priority="91">
      <formula>(AND(ISNUMBER($C33),(IF(E33="",0,E33)&gt;$C33)=TRUE))</formula>
    </cfRule>
  </conditionalFormatting>
  <conditionalFormatting sqref="F33">
    <cfRule type="expression" dxfId="89" priority="90">
      <formula>(AND(ISNUMBER($C33),(IF(F33="",0,F33)&gt;$C33)=TRUE))</formula>
    </cfRule>
  </conditionalFormatting>
  <conditionalFormatting sqref="F34">
    <cfRule type="expression" dxfId="88" priority="89">
      <formula>(AND(ISNUMBER($C34),(IF(F34="",0,F34)&gt;$C34)=TRUE))</formula>
    </cfRule>
  </conditionalFormatting>
  <conditionalFormatting sqref="F35">
    <cfRule type="expression" dxfId="87" priority="88">
      <formula>(AND(ISNUMBER($C35),(IF(F35="",0,F35)&gt;$C35)=TRUE))</formula>
    </cfRule>
  </conditionalFormatting>
  <conditionalFormatting sqref="G35">
    <cfRule type="expression" dxfId="86" priority="87">
      <formula>(AND(ISNUMBER($C35),(IF(G35="",0,G35)&gt;$C35)=TRUE))</formula>
    </cfRule>
  </conditionalFormatting>
  <conditionalFormatting sqref="G34">
    <cfRule type="expression" dxfId="85" priority="86">
      <formula>(AND(ISNUMBER($C34),(IF(G34="",0,G34)&gt;$C34)=TRUE))</formula>
    </cfRule>
  </conditionalFormatting>
  <conditionalFormatting sqref="G33">
    <cfRule type="expression" dxfId="84" priority="85">
      <formula>(AND(ISNUMBER($C33),(IF(G33="",0,G33)&gt;$C33)=TRUE))</formula>
    </cfRule>
  </conditionalFormatting>
  <conditionalFormatting sqref="H33">
    <cfRule type="expression" dxfId="83" priority="84">
      <formula>(AND(ISNUMBER($C33),(IF(H33="",0,H33)&gt;$C33)=TRUE))</formula>
    </cfRule>
  </conditionalFormatting>
  <conditionalFormatting sqref="H34">
    <cfRule type="expression" dxfId="82" priority="83">
      <formula>(AND(ISNUMBER($C34),(IF(H34="",0,H34)&gt;$C34)=TRUE))</formula>
    </cfRule>
  </conditionalFormatting>
  <conditionalFormatting sqref="H35">
    <cfRule type="expression" dxfId="81" priority="82">
      <formula>(AND(ISNUMBER($C35),(IF(H35="",0,H35)&gt;$C35)=TRUE))</formula>
    </cfRule>
  </conditionalFormatting>
  <conditionalFormatting sqref="I35">
    <cfRule type="expression" dxfId="80" priority="81">
      <formula>(AND(ISNUMBER($C35),(IF(I35="",0,I35)&gt;$C35)=TRUE))</formula>
    </cfRule>
  </conditionalFormatting>
  <conditionalFormatting sqref="I34">
    <cfRule type="expression" dxfId="79" priority="80">
      <formula>(AND(ISNUMBER($C34),(IF(I34="",0,I34)&gt;$C34)=TRUE))</formula>
    </cfRule>
  </conditionalFormatting>
  <conditionalFormatting sqref="I33">
    <cfRule type="expression" dxfId="78" priority="79">
      <formula>(AND(ISNUMBER($C33),(IF(I33="",0,I33)&gt;$C33)=TRUE))</formula>
    </cfRule>
  </conditionalFormatting>
  <conditionalFormatting sqref="J33">
    <cfRule type="expression" dxfId="77" priority="78">
      <formula>(AND(ISNUMBER($C33),(IF(J33="",0,J33)&gt;$C33)=TRUE))</formula>
    </cfRule>
  </conditionalFormatting>
  <conditionalFormatting sqref="K33">
    <cfRule type="expression" dxfId="76" priority="77">
      <formula>(AND(ISNUMBER($C33),(IF(K33="",0,K33)&gt;$C33)=TRUE))</formula>
    </cfRule>
  </conditionalFormatting>
  <conditionalFormatting sqref="K34">
    <cfRule type="expression" dxfId="75" priority="76">
      <formula>(AND(ISNUMBER($C34),(IF(K34="",0,K34)&gt;$C34)=TRUE))</formula>
    </cfRule>
  </conditionalFormatting>
  <conditionalFormatting sqref="J34">
    <cfRule type="expression" dxfId="74" priority="75">
      <formula>(AND(ISNUMBER($C34),(IF(J34="",0,J34)&gt;$C34)=TRUE))</formula>
    </cfRule>
  </conditionalFormatting>
  <conditionalFormatting sqref="J35">
    <cfRule type="expression" dxfId="73" priority="74">
      <formula>(AND(ISNUMBER($C35),(IF(J35="",0,J35)&gt;$C35)=TRUE))</formula>
    </cfRule>
  </conditionalFormatting>
  <conditionalFormatting sqref="K35">
    <cfRule type="expression" dxfId="72" priority="73">
      <formula>(AND(ISNUMBER($C35),(IF(K35="",0,K35)&gt;$C35)=TRUE))</formula>
    </cfRule>
  </conditionalFormatting>
  <conditionalFormatting sqref="D37">
    <cfRule type="expression" dxfId="71" priority="72">
      <formula>(AND(ISNUMBER($C37),(IF(D37="",0,D37)&gt;$C37)=TRUE))</formula>
    </cfRule>
  </conditionalFormatting>
  <conditionalFormatting sqref="D38">
    <cfRule type="expression" dxfId="70" priority="71">
      <formula>(AND(ISNUMBER($C38),(IF(D38="",0,D38)&gt;$C38)=TRUE))</formula>
    </cfRule>
  </conditionalFormatting>
  <conditionalFormatting sqref="D39">
    <cfRule type="expression" dxfId="69" priority="70">
      <formula>(AND(ISNUMBER($C39),(IF(D39="",0,D39)&gt;$C39)=TRUE))</formula>
    </cfRule>
  </conditionalFormatting>
  <conditionalFormatting sqref="D40">
    <cfRule type="expression" dxfId="68" priority="69">
      <formula>(AND(ISNUMBER($C40),(IF(D40="",0,D40)&gt;$C40)=TRUE))</formula>
    </cfRule>
  </conditionalFormatting>
  <conditionalFormatting sqref="E40">
    <cfRule type="expression" dxfId="67" priority="68">
      <formula>(AND(ISNUMBER($C40),(IF(E40="",0,E40)&gt;$C40)=TRUE))</formula>
    </cfRule>
  </conditionalFormatting>
  <conditionalFormatting sqref="E39">
    <cfRule type="expression" dxfId="66" priority="67">
      <formula>(AND(ISNUMBER($C39),(IF(E39="",0,E39)&gt;$C39)=TRUE))</formula>
    </cfRule>
  </conditionalFormatting>
  <conditionalFormatting sqref="E38">
    <cfRule type="expression" dxfId="65" priority="66">
      <formula>(AND(ISNUMBER($C38),(IF(E38="",0,E38)&gt;$C38)=TRUE))</formula>
    </cfRule>
  </conditionalFormatting>
  <conditionalFormatting sqref="E37">
    <cfRule type="expression" dxfId="64" priority="65">
      <formula>(AND(ISNUMBER($C37),(IF(E37="",0,E37)&gt;$C37)=TRUE))</formula>
    </cfRule>
  </conditionalFormatting>
  <conditionalFormatting sqref="F37">
    <cfRule type="expression" dxfId="63" priority="64">
      <formula>(AND(ISNUMBER($C37),(IF(F37="",0,F37)&gt;$C37)=TRUE))</formula>
    </cfRule>
  </conditionalFormatting>
  <conditionalFormatting sqref="F38">
    <cfRule type="expression" dxfId="62" priority="63">
      <formula>(AND(ISNUMBER($C38),(IF(F38="",0,F38)&gt;$C38)=TRUE))</formula>
    </cfRule>
  </conditionalFormatting>
  <conditionalFormatting sqref="F39">
    <cfRule type="expression" dxfId="61" priority="62">
      <formula>(AND(ISNUMBER($C39),(IF(F39="",0,F39)&gt;$C39)=TRUE))</formula>
    </cfRule>
  </conditionalFormatting>
  <conditionalFormatting sqref="F40">
    <cfRule type="expression" dxfId="60" priority="61">
      <formula>(AND(ISNUMBER($C40),(IF(F40="",0,F40)&gt;$C40)=TRUE))</formula>
    </cfRule>
  </conditionalFormatting>
  <conditionalFormatting sqref="G40">
    <cfRule type="expression" dxfId="59" priority="60">
      <formula>(AND(ISNUMBER($C40),(IF(G40="",0,G40)&gt;$C40)=TRUE))</formula>
    </cfRule>
  </conditionalFormatting>
  <conditionalFormatting sqref="G39">
    <cfRule type="expression" dxfId="58" priority="59">
      <formula>(AND(ISNUMBER($C39),(IF(G39="",0,G39)&gt;$C39)=TRUE))</formula>
    </cfRule>
  </conditionalFormatting>
  <conditionalFormatting sqref="G38">
    <cfRule type="expression" dxfId="57" priority="58">
      <formula>(AND(ISNUMBER($C38),(IF(G38="",0,G38)&gt;$C38)=TRUE))</formula>
    </cfRule>
  </conditionalFormatting>
  <conditionalFormatting sqref="G37">
    <cfRule type="expression" dxfId="56" priority="57">
      <formula>(AND(ISNUMBER($C37),(IF(G37="",0,G37)&gt;$C37)=TRUE))</formula>
    </cfRule>
  </conditionalFormatting>
  <conditionalFormatting sqref="H37">
    <cfRule type="expression" dxfId="55" priority="56">
      <formula>(AND(ISNUMBER($C37),(IF(H37="",0,H37)&gt;$C37)=TRUE))</formula>
    </cfRule>
  </conditionalFormatting>
  <conditionalFormatting sqref="H38">
    <cfRule type="expression" dxfId="54" priority="55">
      <formula>(AND(ISNUMBER($C38),(IF(H38="",0,H38)&gt;$C38)=TRUE))</formula>
    </cfRule>
  </conditionalFormatting>
  <conditionalFormatting sqref="H39">
    <cfRule type="expression" dxfId="53" priority="54">
      <formula>(AND(ISNUMBER($C39),(IF(H39="",0,H39)&gt;$C39)=TRUE))</formula>
    </cfRule>
  </conditionalFormatting>
  <conditionalFormatting sqref="H40">
    <cfRule type="expression" dxfId="52" priority="53">
      <formula>(AND(ISNUMBER($C40),(IF(H40="",0,H40)&gt;$C40)=TRUE))</formula>
    </cfRule>
  </conditionalFormatting>
  <conditionalFormatting sqref="I40">
    <cfRule type="expression" dxfId="51" priority="52">
      <formula>(AND(ISNUMBER($C40),(IF(I40="",0,I40)&gt;$C40)=TRUE))</formula>
    </cfRule>
  </conditionalFormatting>
  <conditionalFormatting sqref="I39">
    <cfRule type="expression" dxfId="50" priority="51">
      <formula>(AND(ISNUMBER($C39),(IF(I39="",0,I39)&gt;$C39)=TRUE))</formula>
    </cfRule>
  </conditionalFormatting>
  <conditionalFormatting sqref="I38">
    <cfRule type="expression" dxfId="49" priority="50">
      <formula>(AND(ISNUMBER($C38),(IF(I38="",0,I38)&gt;$C38)=TRUE))</formula>
    </cfRule>
  </conditionalFormatting>
  <conditionalFormatting sqref="I37">
    <cfRule type="expression" dxfId="48" priority="49">
      <formula>(AND(ISNUMBER($C37),(IF(I37="",0,I37)&gt;$C37)=TRUE))</formula>
    </cfRule>
  </conditionalFormatting>
  <conditionalFormatting sqref="J37">
    <cfRule type="expression" dxfId="47" priority="48">
      <formula>(AND(ISNUMBER($C37),(IF(J37="",0,J37)&gt;$C37)=TRUE))</formula>
    </cfRule>
  </conditionalFormatting>
  <conditionalFormatting sqref="J38">
    <cfRule type="expression" dxfId="46" priority="47">
      <formula>(AND(ISNUMBER($C38),(IF(J38="",0,J38)&gt;$C38)=TRUE))</formula>
    </cfRule>
  </conditionalFormatting>
  <conditionalFormatting sqref="J39">
    <cfRule type="expression" dxfId="45" priority="46">
      <formula>(AND(ISNUMBER($C39),(IF(J39="",0,J39)&gt;$C39)=TRUE))</formula>
    </cfRule>
  </conditionalFormatting>
  <conditionalFormatting sqref="J40">
    <cfRule type="expression" dxfId="44" priority="45">
      <formula>(AND(ISNUMBER($C40),(IF(J40="",0,J40)&gt;$C40)=TRUE))</formula>
    </cfRule>
  </conditionalFormatting>
  <conditionalFormatting sqref="K40">
    <cfRule type="expression" dxfId="43" priority="44">
      <formula>(AND(ISNUMBER($C40),(IF(K40="",0,K40)&gt;$C40)=TRUE))</formula>
    </cfRule>
  </conditionalFormatting>
  <conditionalFormatting sqref="K39">
    <cfRule type="expression" dxfId="42" priority="43">
      <formula>(AND(ISNUMBER($C39),(IF(K39="",0,K39)&gt;$C39)=TRUE))</formula>
    </cfRule>
  </conditionalFormatting>
  <conditionalFormatting sqref="K38">
    <cfRule type="expression" dxfId="41" priority="42">
      <formula>(AND(ISNUMBER($C38),(IF(K38="",0,K38)&gt;$C38)=TRUE))</formula>
    </cfRule>
  </conditionalFormatting>
  <conditionalFormatting sqref="K37">
    <cfRule type="expression" dxfId="40" priority="41">
      <formula>(AND(ISNUMBER($C37),(IF(K37="",0,K37)&gt;$C37)=TRUE))</formula>
    </cfRule>
  </conditionalFormatting>
  <conditionalFormatting sqref="D42">
    <cfRule type="expression" dxfId="39" priority="40">
      <formula>(AND(ISNUMBER($C42),(IF(D42="",0,D42)&gt;$C42)=TRUE))</formula>
    </cfRule>
  </conditionalFormatting>
  <conditionalFormatting sqref="D43">
    <cfRule type="expression" dxfId="38" priority="39">
      <formula>(AND(ISNUMBER($C43),(IF(D43="",0,D43)&gt;$C43)=TRUE))</formula>
    </cfRule>
  </conditionalFormatting>
  <conditionalFormatting sqref="D44">
    <cfRule type="expression" dxfId="37" priority="38">
      <formula>(AND(ISNUMBER($C44),(IF(D44="",0,D44)&gt;$C44)=TRUE))</formula>
    </cfRule>
  </conditionalFormatting>
  <conditionalFormatting sqref="D45">
    <cfRule type="expression" dxfId="36" priority="37">
      <formula>(AND(ISNUMBER($C45),(IF(D45="",0,D45)&gt;$C45)=TRUE))</formula>
    </cfRule>
  </conditionalFormatting>
  <conditionalFormatting sqref="D46">
    <cfRule type="expression" dxfId="35" priority="36">
      <formula>(AND(ISNUMBER($C46),(IF(D46="",0,D46)&gt;$C46)=TRUE))</formula>
    </cfRule>
  </conditionalFormatting>
  <conditionalFormatting sqref="E46">
    <cfRule type="expression" dxfId="34" priority="35">
      <formula>(AND(ISNUMBER($C46),(IF(E46="",0,E46)&gt;$C46)=TRUE))</formula>
    </cfRule>
  </conditionalFormatting>
  <conditionalFormatting sqref="E45">
    <cfRule type="expression" dxfId="33" priority="34">
      <formula>(AND(ISNUMBER($C45),(IF(E45="",0,E45)&gt;$C45)=TRUE))</formula>
    </cfRule>
  </conditionalFormatting>
  <conditionalFormatting sqref="E44">
    <cfRule type="expression" dxfId="32" priority="33">
      <formula>(AND(ISNUMBER($C44),(IF(E44="",0,E44)&gt;$C44)=TRUE))</formula>
    </cfRule>
  </conditionalFormatting>
  <conditionalFormatting sqref="E43">
    <cfRule type="expression" dxfId="31" priority="32">
      <formula>(AND(ISNUMBER($C43),(IF(E43="",0,E43)&gt;$C43)=TRUE))</formula>
    </cfRule>
  </conditionalFormatting>
  <conditionalFormatting sqref="E42">
    <cfRule type="expression" dxfId="30" priority="31">
      <formula>(AND(ISNUMBER($C42),(IF(E42="",0,E42)&gt;$C42)=TRUE))</formula>
    </cfRule>
  </conditionalFormatting>
  <conditionalFormatting sqref="F42">
    <cfRule type="expression" dxfId="29" priority="30">
      <formula>(AND(ISNUMBER($C42),(IF(F42="",0,F42)&gt;$C42)=TRUE))</formula>
    </cfRule>
  </conditionalFormatting>
  <conditionalFormatting sqref="F43">
    <cfRule type="expression" dxfId="28" priority="29">
      <formula>(AND(ISNUMBER($C43),(IF(F43="",0,F43)&gt;$C43)=TRUE))</formula>
    </cfRule>
  </conditionalFormatting>
  <conditionalFormatting sqref="F44">
    <cfRule type="expression" dxfId="27" priority="28">
      <formula>(AND(ISNUMBER($C44),(IF(F44="",0,F44)&gt;$C44)=TRUE))</formula>
    </cfRule>
  </conditionalFormatting>
  <conditionalFormatting sqref="F45">
    <cfRule type="expression" dxfId="26" priority="27">
      <formula>(AND(ISNUMBER($C45),(IF(F45="",0,F45)&gt;$C45)=TRUE))</formula>
    </cfRule>
  </conditionalFormatting>
  <conditionalFormatting sqref="F46">
    <cfRule type="expression" dxfId="25" priority="26">
      <formula>(AND(ISNUMBER($C46),(IF(F46="",0,F46)&gt;$C46)=TRUE))</formula>
    </cfRule>
  </conditionalFormatting>
  <conditionalFormatting sqref="G46">
    <cfRule type="expression" dxfId="24" priority="25">
      <formula>(AND(ISNUMBER($C46),(IF(G46="",0,G46)&gt;$C46)=TRUE))</formula>
    </cfRule>
  </conditionalFormatting>
  <conditionalFormatting sqref="G45">
    <cfRule type="expression" dxfId="23" priority="24">
      <formula>(AND(ISNUMBER($C45),(IF(G45="",0,G45)&gt;$C45)=TRUE))</formula>
    </cfRule>
  </conditionalFormatting>
  <conditionalFormatting sqref="G44">
    <cfRule type="expression" dxfId="22" priority="23">
      <formula>(AND(ISNUMBER($C44),(IF(G44="",0,G44)&gt;$C44)=TRUE))</formula>
    </cfRule>
  </conditionalFormatting>
  <conditionalFormatting sqref="G43">
    <cfRule type="expression" dxfId="21" priority="22">
      <formula>(AND(ISNUMBER($C43),(IF(G43="",0,G43)&gt;$C43)=TRUE))</formula>
    </cfRule>
  </conditionalFormatting>
  <conditionalFormatting sqref="G42">
    <cfRule type="expression" dxfId="20" priority="21">
      <formula>(AND(ISNUMBER($C42),(IF(G42="",0,G42)&gt;$C42)=TRUE))</formula>
    </cfRule>
  </conditionalFormatting>
  <conditionalFormatting sqref="H42">
    <cfRule type="expression" dxfId="19" priority="20">
      <formula>(AND(ISNUMBER($C42),(IF(H42="",0,H42)&gt;$C42)=TRUE))</formula>
    </cfRule>
  </conditionalFormatting>
  <conditionalFormatting sqref="H43">
    <cfRule type="expression" dxfId="18" priority="19">
      <formula>(AND(ISNUMBER($C43),(IF(H43="",0,H43)&gt;$C43)=TRUE))</formula>
    </cfRule>
  </conditionalFormatting>
  <conditionalFormatting sqref="H44">
    <cfRule type="expression" dxfId="17" priority="18">
      <formula>(AND(ISNUMBER($C44),(IF(H44="",0,H44)&gt;$C44)=TRUE))</formula>
    </cfRule>
  </conditionalFormatting>
  <conditionalFormatting sqref="H45">
    <cfRule type="expression" dxfId="16" priority="17">
      <formula>(AND(ISNUMBER($C45),(IF(H45="",0,H45)&gt;$C45)=TRUE))</formula>
    </cfRule>
  </conditionalFormatting>
  <conditionalFormatting sqref="H46">
    <cfRule type="expression" dxfId="15" priority="16">
      <formula>(AND(ISNUMBER($C46),(IF(H46="",0,H46)&gt;$C46)=TRUE))</formula>
    </cfRule>
  </conditionalFormatting>
  <conditionalFormatting sqref="I46">
    <cfRule type="expression" dxfId="14" priority="15">
      <formula>(AND(ISNUMBER($C46),(IF(I46="",0,I46)&gt;$C46)=TRUE))</formula>
    </cfRule>
  </conditionalFormatting>
  <conditionalFormatting sqref="I45">
    <cfRule type="expression" dxfId="13" priority="14">
      <formula>(AND(ISNUMBER($C45),(IF(I45="",0,I45)&gt;$C45)=TRUE))</formula>
    </cfRule>
  </conditionalFormatting>
  <conditionalFormatting sqref="I44">
    <cfRule type="expression" dxfId="12" priority="13">
      <formula>(AND(ISNUMBER($C44),(IF(I44="",0,I44)&gt;$C44)=TRUE))</formula>
    </cfRule>
  </conditionalFormatting>
  <conditionalFormatting sqref="I43">
    <cfRule type="expression" dxfId="11" priority="12">
      <formula>(AND(ISNUMBER($C43),(IF(I43="",0,I43)&gt;$C43)=TRUE))</formula>
    </cfRule>
  </conditionalFormatting>
  <conditionalFormatting sqref="I42">
    <cfRule type="expression" dxfId="10" priority="11">
      <formula>(AND(ISNUMBER($C42),(IF(I42="",0,I42)&gt;$C42)=TRUE))</formula>
    </cfRule>
  </conditionalFormatting>
  <conditionalFormatting sqref="J42">
    <cfRule type="expression" dxfId="9" priority="10">
      <formula>(AND(ISNUMBER($C42),(IF(J42="",0,J42)&gt;$C42)=TRUE))</formula>
    </cfRule>
  </conditionalFormatting>
  <conditionalFormatting sqref="J43">
    <cfRule type="expression" dxfId="8" priority="9">
      <formula>(AND(ISNUMBER($C43),(IF(J43="",0,J43)&gt;$C43)=TRUE))</formula>
    </cfRule>
  </conditionalFormatting>
  <conditionalFormatting sqref="J44">
    <cfRule type="expression" dxfId="7" priority="8">
      <formula>(AND(ISNUMBER($C44),(IF(J44="",0,J44)&gt;$C44)=TRUE))</formula>
    </cfRule>
  </conditionalFormatting>
  <conditionalFormatting sqref="J45">
    <cfRule type="expression" dxfId="6" priority="7">
      <formula>(AND(ISNUMBER($C45),(IF(J45="",0,J45)&gt;$C45)=TRUE))</formula>
    </cfRule>
  </conditionalFormatting>
  <conditionalFormatting sqref="J46">
    <cfRule type="expression" dxfId="5" priority="6">
      <formula>(AND(ISNUMBER($C46),(IF(J46="",0,J46)&gt;$C46)=TRUE))</formula>
    </cfRule>
  </conditionalFormatting>
  <conditionalFormatting sqref="K46">
    <cfRule type="expression" dxfId="4" priority="5">
      <formula>(AND(ISNUMBER($C46),(IF(K46="",0,K46)&gt;$C46)=TRUE))</formula>
    </cfRule>
  </conditionalFormatting>
  <conditionalFormatting sqref="K45">
    <cfRule type="expression" dxfId="3" priority="4">
      <formula>(AND(ISNUMBER($C45),(IF(K45="",0,K45)&gt;$C45)=TRUE))</formula>
    </cfRule>
  </conditionalFormatting>
  <conditionalFormatting sqref="K44">
    <cfRule type="expression" dxfId="2" priority="3">
      <formula>(AND(ISNUMBER($C44),(IF(K44="",0,K44)&gt;$C44)=TRUE))</formula>
    </cfRule>
  </conditionalFormatting>
  <conditionalFormatting sqref="K43">
    <cfRule type="expression" dxfId="1" priority="2">
      <formula>(AND(ISNUMBER($C43),(IF(K43="",0,K43)&gt;$C43)=TRUE))</formula>
    </cfRule>
  </conditionalFormatting>
  <conditionalFormatting sqref="K42">
    <cfRule type="expression" dxfId="0" priority="1">
      <formula>(AND(ISNUMBER($C42),(IF(K42="",0,K42)&gt;$C42)=TRUE))</formula>
    </cfRule>
  </conditionalFormatting>
  <pageMargins left="0.25" right="0.25" top="0.75" bottom="0.75" header="0.3" footer="0.3"/>
  <pageSetup scale="2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topLeftCell="A29" workbookViewId="0">
      <selection sqref="A1:O1048576"/>
    </sheetView>
  </sheetViews>
  <sheetFormatPr defaultRowHeight="14.5" x14ac:dyDescent="0.35"/>
  <cols>
    <col min="1" max="1" width="80.7265625" bestFit="1" customWidth="1"/>
    <col min="2" max="2" width="14.7265625" bestFit="1" customWidth="1"/>
    <col min="3" max="3" width="27.26953125" bestFit="1" customWidth="1"/>
    <col min="4" max="4" width="14.6328125" bestFit="1" customWidth="1"/>
    <col min="5" max="5" width="33.81640625" bestFit="1" customWidth="1"/>
    <col min="6" max="6" width="10.7265625" bestFit="1" customWidth="1"/>
    <col min="7" max="7" width="13.7265625" bestFit="1" customWidth="1"/>
    <col min="8" max="10" width="11.81640625" bestFit="1" customWidth="1"/>
    <col min="11" max="11" width="8.81640625" bestFit="1" customWidth="1"/>
    <col min="12" max="12" width="8.36328125" bestFit="1" customWidth="1"/>
    <col min="13" max="13" width="11.81640625" bestFit="1" customWidth="1"/>
    <col min="14" max="14" width="13.36328125" bestFit="1" customWidth="1"/>
    <col min="15" max="15" width="1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55" zoomScaleNormal="55"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topLeftCell="A114"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  <col min="2" max="2" width="15.6328125" bestFit="1" customWidth="1"/>
    <col min="3" max="3" width="27.26953125" bestFit="1" customWidth="1"/>
    <col min="4" max="4" width="16.90625" bestFit="1" customWidth="1"/>
    <col min="5" max="5" width="33.81640625" bestFit="1" customWidth="1"/>
    <col min="6" max="6" width="13" bestFit="1" customWidth="1"/>
    <col min="7" max="7" width="16" bestFit="1" customWidth="1"/>
    <col min="8" max="8" width="13.7265625" bestFit="1" customWidth="1"/>
    <col min="9" max="9" width="12.26953125" bestFit="1" customWidth="1"/>
    <col min="10" max="10" width="12.36328125" bestFit="1" customWidth="1"/>
    <col min="11" max="11" width="11.08984375" bestFit="1" customWidth="1"/>
    <col min="12" max="12" width="10.6328125" bestFit="1" customWidth="1"/>
    <col min="13" max="13" width="12.08984375" bestFit="1" customWidth="1"/>
    <col min="14" max="14" width="15.6328125" bestFit="1" customWidth="1"/>
    <col min="15" max="15" width="17.2695312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  <col min="2" max="2" width="34" bestFit="1" customWidth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0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  <col min="2" max="2" width="14.453125" bestFit="1" customWidth="1"/>
    <col min="3" max="3" width="29.1796875" bestFit="1" customWidth="1"/>
    <col min="4" max="4" width="15.453125" bestFit="1" customWidth="1"/>
    <col min="5" max="5" width="34.81640625" bestFit="1" customWidth="1"/>
    <col min="6" max="6" width="11.54296875" bestFit="1" customWidth="1"/>
    <col min="7" max="7" width="14.81640625" bestFit="1" customWidth="1"/>
    <col min="8" max="8" width="12.1796875" bestFit="1" customWidth="1"/>
    <col min="9" max="10" width="12" bestFit="1" customWidth="1"/>
    <col min="11" max="11" width="9.54296875" bestFit="1" customWidth="1"/>
    <col min="12" max="12" width="9" bestFit="1" customWidth="1"/>
    <col min="13" max="13" width="12" bestFit="1" customWidth="1"/>
    <col min="14" max="14" width="14.54296875" bestFit="1" customWidth="1"/>
    <col min="15" max="15" width="16.1796875" bestFit="1" customWidth="1"/>
  </cols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C6"/>
  <sheetViews>
    <sheetView workbookViewId="0">
      <selection sqref="A1:O1048576"/>
    </sheetView>
  </sheetViews>
  <sheetFormatPr defaultRowHeight="14.5" x14ac:dyDescent="0.35"/>
  <cols>
    <col min="1" max="1" width="11.36328125" customWidth="1"/>
    <col min="2" max="2" width="34" bestFit="1" customWidth="1"/>
  </cols>
  <sheetData>
    <row r="1" spans="1:3" x14ac:dyDescent="0.35">
      <c r="A1" s="467" t="s">
        <v>225</v>
      </c>
      <c r="B1" s="468"/>
      <c r="C1" s="468"/>
    </row>
    <row r="2" spans="1:3" x14ac:dyDescent="0.35">
      <c r="A2" s="469" t="s">
        <v>226</v>
      </c>
      <c r="B2" s="469"/>
      <c r="C2" s="469"/>
    </row>
    <row r="3" spans="1:3" ht="28" x14ac:dyDescent="0.35">
      <c r="A3" s="469" t="s">
        <v>227</v>
      </c>
      <c r="B3" s="319" t="s">
        <v>228</v>
      </c>
    </row>
    <row r="4" spans="1:3" x14ac:dyDescent="0.35">
      <c r="A4" s="469"/>
      <c r="B4" s="319" t="s">
        <v>229</v>
      </c>
    </row>
    <row r="5" spans="1:3" x14ac:dyDescent="0.35">
      <c r="A5" s="469"/>
      <c r="B5" s="319" t="s">
        <v>230</v>
      </c>
    </row>
    <row r="6" spans="1:3" x14ac:dyDescent="0.35">
      <c r="A6" s="469"/>
      <c r="B6" s="469"/>
      <c r="C6" s="469"/>
    </row>
  </sheetData>
  <mergeCells count="4">
    <mergeCell ref="A1:C1"/>
    <mergeCell ref="A2:C2"/>
    <mergeCell ref="A3:A5"/>
    <mergeCell ref="A6:C6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/>
  <dimension ref="A1:O213"/>
  <sheetViews>
    <sheetView zoomScale="70" zoomScaleNormal="70" workbookViewId="0">
      <selection sqref="A1:O1048576"/>
    </sheetView>
  </sheetViews>
  <sheetFormatPr defaultRowHeight="14.5" x14ac:dyDescent="0.35"/>
  <cols>
    <col min="1" max="1" width="80.7265625" bestFit="1" customWidth="1"/>
    <col min="2" max="2" width="14.7265625" bestFit="1" customWidth="1"/>
    <col min="3" max="3" width="27.26953125" bestFit="1" customWidth="1"/>
    <col min="4" max="4" width="14.6328125" bestFit="1" customWidth="1"/>
    <col min="5" max="5" width="33.81640625" bestFit="1" customWidth="1"/>
    <col min="6" max="6" width="10.7265625" bestFit="1" customWidth="1"/>
    <col min="7" max="7" width="13.7265625" bestFit="1" customWidth="1"/>
    <col min="8" max="10" width="11.81640625" bestFit="1" customWidth="1"/>
    <col min="11" max="11" width="8.81640625" bestFit="1" customWidth="1"/>
    <col min="12" max="12" width="8.36328125" bestFit="1" customWidth="1"/>
    <col min="13" max="13" width="11.81640625" bestFit="1" customWidth="1"/>
    <col min="14" max="14" width="13.36328125" bestFit="1" customWidth="1"/>
    <col min="15" max="15" width="15" bestFit="1" customWidth="1"/>
  </cols>
  <sheetData>
    <row r="1" spans="1:15" x14ac:dyDescent="0.35">
      <c r="A1" t="s">
        <v>94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48</v>
      </c>
      <c r="I1" t="s">
        <v>101</v>
      </c>
      <c r="J1" t="s">
        <v>102</v>
      </c>
      <c r="K1" t="s">
        <v>103</v>
      </c>
      <c r="L1" t="s">
        <v>104</v>
      </c>
      <c r="M1" t="s">
        <v>105</v>
      </c>
      <c r="N1" t="s">
        <v>106</v>
      </c>
      <c r="O1" t="s">
        <v>107</v>
      </c>
    </row>
    <row r="2" spans="1:15" x14ac:dyDescent="0.35">
      <c r="A2" t="s">
        <v>108</v>
      </c>
      <c r="B2" t="s">
        <v>52</v>
      </c>
      <c r="C2" t="s">
        <v>60</v>
      </c>
      <c r="D2">
        <v>100405</v>
      </c>
      <c r="F2">
        <v>21778</v>
      </c>
      <c r="G2">
        <v>21778</v>
      </c>
      <c r="H2">
        <v>9.8475000000000001</v>
      </c>
      <c r="I2">
        <v>2211.5257679614101</v>
      </c>
      <c r="J2">
        <v>2211.5257679614101</v>
      </c>
      <c r="K2" t="s">
        <v>109</v>
      </c>
      <c r="L2">
        <v>959.76</v>
      </c>
      <c r="M2">
        <v>22.691089439026399</v>
      </c>
      <c r="N2">
        <v>230.42487371440799</v>
      </c>
      <c r="O2">
        <v>12.843589439026401</v>
      </c>
    </row>
    <row r="3" spans="1:15" x14ac:dyDescent="0.35">
      <c r="A3" t="s">
        <v>108</v>
      </c>
      <c r="B3" t="s">
        <v>52</v>
      </c>
      <c r="C3" t="s">
        <v>61</v>
      </c>
      <c r="D3">
        <v>100400</v>
      </c>
      <c r="F3">
        <v>21778</v>
      </c>
      <c r="G3">
        <v>21778</v>
      </c>
      <c r="H3">
        <v>18.5</v>
      </c>
      <c r="I3">
        <v>1177.1891891891801</v>
      </c>
      <c r="J3">
        <v>1177.1891891891801</v>
      </c>
      <c r="K3" t="s">
        <v>109</v>
      </c>
      <c r="L3">
        <v>831.34</v>
      </c>
      <c r="M3">
        <v>26.196261457406099</v>
      </c>
      <c r="N3">
        <v>141.601413283276</v>
      </c>
      <c r="O3">
        <v>7.6962614574061101</v>
      </c>
    </row>
    <row r="4" spans="1:15" x14ac:dyDescent="0.35">
      <c r="A4" t="s">
        <v>108</v>
      </c>
      <c r="B4" t="s">
        <v>52</v>
      </c>
      <c r="C4" t="s">
        <v>7</v>
      </c>
      <c r="D4">
        <v>100020</v>
      </c>
      <c r="E4" t="s">
        <v>110</v>
      </c>
      <c r="F4">
        <v>0</v>
      </c>
      <c r="G4">
        <v>0</v>
      </c>
      <c r="H4">
        <v>0</v>
      </c>
      <c r="I4">
        <v>0</v>
      </c>
      <c r="J4">
        <v>0</v>
      </c>
      <c r="K4" t="s">
        <v>109</v>
      </c>
      <c r="L4">
        <v>0</v>
      </c>
      <c r="M4">
        <v>0</v>
      </c>
      <c r="N4">
        <v>0</v>
      </c>
      <c r="O4">
        <v>0</v>
      </c>
    </row>
    <row r="5" spans="1:15" x14ac:dyDescent="0.35">
      <c r="A5" t="s">
        <v>108</v>
      </c>
      <c r="B5" t="s">
        <v>52</v>
      </c>
      <c r="C5" t="s">
        <v>7</v>
      </c>
      <c r="D5">
        <v>100020</v>
      </c>
      <c r="E5" t="s">
        <v>111</v>
      </c>
      <c r="F5">
        <v>6315</v>
      </c>
      <c r="G5">
        <v>6315</v>
      </c>
      <c r="H5">
        <v>5.9797222222222199</v>
      </c>
      <c r="I5">
        <v>1056.06912249732</v>
      </c>
      <c r="J5">
        <v>1056.06912249732</v>
      </c>
      <c r="K5" t="s">
        <v>109</v>
      </c>
      <c r="L5">
        <v>0</v>
      </c>
      <c r="M5">
        <v>0</v>
      </c>
      <c r="N5">
        <v>0</v>
      </c>
      <c r="O5">
        <v>-5.9797222222222199</v>
      </c>
    </row>
    <row r="6" spans="1:15" x14ac:dyDescent="0.35">
      <c r="A6" t="s">
        <v>108</v>
      </c>
      <c r="B6" t="s">
        <v>52</v>
      </c>
      <c r="C6" t="s">
        <v>7</v>
      </c>
      <c r="D6">
        <v>100020</v>
      </c>
      <c r="E6" t="s">
        <v>112</v>
      </c>
      <c r="F6">
        <v>0</v>
      </c>
      <c r="G6">
        <v>0</v>
      </c>
      <c r="H6">
        <v>0</v>
      </c>
      <c r="I6">
        <v>0</v>
      </c>
      <c r="J6">
        <v>0</v>
      </c>
      <c r="K6" t="s">
        <v>109</v>
      </c>
      <c r="L6">
        <v>0</v>
      </c>
      <c r="M6">
        <v>0</v>
      </c>
      <c r="N6">
        <v>0</v>
      </c>
      <c r="O6">
        <v>0</v>
      </c>
    </row>
    <row r="7" spans="1:15" x14ac:dyDescent="0.35">
      <c r="A7" t="s">
        <v>108</v>
      </c>
      <c r="B7" t="s">
        <v>52</v>
      </c>
      <c r="C7" t="s">
        <v>7</v>
      </c>
      <c r="D7">
        <v>100020</v>
      </c>
      <c r="E7" t="s">
        <v>113</v>
      </c>
      <c r="F7">
        <v>0</v>
      </c>
      <c r="G7">
        <v>0</v>
      </c>
      <c r="H7">
        <v>0</v>
      </c>
      <c r="I7">
        <v>0</v>
      </c>
      <c r="J7">
        <v>0</v>
      </c>
      <c r="K7" t="s">
        <v>109</v>
      </c>
      <c r="L7">
        <v>0</v>
      </c>
      <c r="M7">
        <v>0</v>
      </c>
      <c r="N7">
        <v>0</v>
      </c>
      <c r="O7">
        <v>0</v>
      </c>
    </row>
    <row r="8" spans="1:15" x14ac:dyDescent="0.35">
      <c r="A8" t="s">
        <v>108</v>
      </c>
      <c r="B8" t="s">
        <v>52</v>
      </c>
      <c r="C8" t="s">
        <v>7</v>
      </c>
      <c r="D8">
        <v>100020</v>
      </c>
      <c r="E8" t="s">
        <v>114</v>
      </c>
      <c r="F8">
        <v>3046</v>
      </c>
      <c r="G8">
        <v>3046</v>
      </c>
      <c r="H8">
        <v>3.5627777777777698</v>
      </c>
      <c r="I8">
        <v>854.95088102292198</v>
      </c>
      <c r="J8">
        <v>854.95088102292198</v>
      </c>
      <c r="K8" t="s">
        <v>109</v>
      </c>
      <c r="L8">
        <v>0</v>
      </c>
      <c r="M8">
        <v>0</v>
      </c>
      <c r="N8">
        <v>0</v>
      </c>
      <c r="O8">
        <v>-3.5627777777777698</v>
      </c>
    </row>
    <row r="9" spans="1:15" x14ac:dyDescent="0.35">
      <c r="A9" t="s">
        <v>108</v>
      </c>
      <c r="B9" t="s">
        <v>52</v>
      </c>
      <c r="C9" t="s">
        <v>7</v>
      </c>
      <c r="D9">
        <v>100020</v>
      </c>
      <c r="E9" t="s">
        <v>115</v>
      </c>
      <c r="F9">
        <v>1131</v>
      </c>
      <c r="G9">
        <v>1131</v>
      </c>
      <c r="H9">
        <v>1.7775000000000001</v>
      </c>
      <c r="I9">
        <v>636.28691983122303</v>
      </c>
      <c r="J9">
        <v>636.28691983122303</v>
      </c>
      <c r="K9" t="s">
        <v>109</v>
      </c>
      <c r="L9">
        <v>0</v>
      </c>
      <c r="M9">
        <v>0</v>
      </c>
      <c r="N9">
        <v>0</v>
      </c>
      <c r="O9">
        <v>-1.7775000000000001</v>
      </c>
    </row>
    <row r="10" spans="1:15" x14ac:dyDescent="0.35">
      <c r="A10" t="s">
        <v>108</v>
      </c>
      <c r="B10" t="s">
        <v>52</v>
      </c>
      <c r="C10" t="s">
        <v>7</v>
      </c>
      <c r="D10">
        <v>100020</v>
      </c>
      <c r="E10" t="s">
        <v>116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109</v>
      </c>
      <c r="L10">
        <v>0</v>
      </c>
      <c r="M10">
        <v>0</v>
      </c>
      <c r="N10">
        <v>0</v>
      </c>
      <c r="O10">
        <v>0</v>
      </c>
    </row>
    <row r="11" spans="1:15" x14ac:dyDescent="0.35">
      <c r="A11" t="s">
        <v>108</v>
      </c>
      <c r="B11" t="s">
        <v>52</v>
      </c>
      <c r="C11" t="s">
        <v>7</v>
      </c>
      <c r="D11">
        <v>100020</v>
      </c>
      <c r="E11" t="s">
        <v>117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109</v>
      </c>
      <c r="L11">
        <v>0</v>
      </c>
      <c r="M11">
        <v>0</v>
      </c>
      <c r="N11">
        <v>0</v>
      </c>
      <c r="O11">
        <v>0</v>
      </c>
    </row>
    <row r="12" spans="1:15" x14ac:dyDescent="0.35">
      <c r="A12" t="s">
        <v>108</v>
      </c>
      <c r="B12" t="s">
        <v>52</v>
      </c>
      <c r="C12" t="s">
        <v>7</v>
      </c>
      <c r="D12">
        <v>100020</v>
      </c>
      <c r="E12" t="s">
        <v>118</v>
      </c>
      <c r="F12">
        <v>11255</v>
      </c>
      <c r="G12">
        <v>11255</v>
      </c>
      <c r="H12">
        <v>8.4600000000000009</v>
      </c>
      <c r="I12">
        <v>1330.3782505910101</v>
      </c>
      <c r="J12">
        <v>1330.3782505910101</v>
      </c>
      <c r="K12" t="s">
        <v>109</v>
      </c>
      <c r="L12">
        <v>0</v>
      </c>
      <c r="M12">
        <v>0</v>
      </c>
      <c r="N12">
        <v>0</v>
      </c>
      <c r="O12">
        <v>-8.4600000000000009</v>
      </c>
    </row>
    <row r="13" spans="1:15" x14ac:dyDescent="0.35">
      <c r="A13" t="s">
        <v>108</v>
      </c>
      <c r="B13" t="s">
        <v>52</v>
      </c>
      <c r="C13" t="s">
        <v>7</v>
      </c>
      <c r="D13">
        <v>100020</v>
      </c>
      <c r="E13" t="s">
        <v>119</v>
      </c>
      <c r="F13">
        <v>1</v>
      </c>
      <c r="G13">
        <v>1</v>
      </c>
      <c r="H13">
        <v>1.6666666666666601E-3</v>
      </c>
      <c r="I13">
        <v>600</v>
      </c>
      <c r="J13">
        <v>600</v>
      </c>
      <c r="K13" t="s">
        <v>109</v>
      </c>
      <c r="L13">
        <v>0</v>
      </c>
      <c r="M13">
        <v>0</v>
      </c>
      <c r="N13">
        <v>0</v>
      </c>
      <c r="O13">
        <v>-1.6666666666666601E-3</v>
      </c>
    </row>
    <row r="14" spans="1:15" x14ac:dyDescent="0.35">
      <c r="A14" t="s">
        <v>108</v>
      </c>
      <c r="B14" t="s">
        <v>52</v>
      </c>
      <c r="C14" t="s">
        <v>7</v>
      </c>
      <c r="D14">
        <v>100020</v>
      </c>
      <c r="E14" t="s">
        <v>120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109</v>
      </c>
      <c r="L14">
        <v>0</v>
      </c>
      <c r="M14">
        <v>0</v>
      </c>
      <c r="N14">
        <v>0</v>
      </c>
      <c r="O14">
        <v>0</v>
      </c>
    </row>
    <row r="15" spans="1:15" x14ac:dyDescent="0.35">
      <c r="A15" t="s">
        <v>108</v>
      </c>
      <c r="B15" t="s">
        <v>52</v>
      </c>
      <c r="C15" t="s">
        <v>7</v>
      </c>
      <c r="D15">
        <v>100020</v>
      </c>
      <c r="E15" t="s">
        <v>121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109</v>
      </c>
      <c r="L15">
        <v>0</v>
      </c>
      <c r="M15">
        <v>0</v>
      </c>
      <c r="N15">
        <v>0</v>
      </c>
      <c r="O15">
        <v>0</v>
      </c>
    </row>
    <row r="16" spans="1:15" x14ac:dyDescent="0.35">
      <c r="A16" t="s">
        <v>108</v>
      </c>
      <c r="B16" t="s">
        <v>52</v>
      </c>
      <c r="C16" t="s">
        <v>7</v>
      </c>
      <c r="D16">
        <v>100020</v>
      </c>
      <c r="E16" t="s">
        <v>122</v>
      </c>
      <c r="F16">
        <v>7</v>
      </c>
      <c r="G16">
        <v>7</v>
      </c>
      <c r="H16">
        <v>1.4222222222222201</v>
      </c>
      <c r="I16">
        <v>4.9218749999999902</v>
      </c>
      <c r="J16">
        <v>4.9218749999999902</v>
      </c>
      <c r="K16" t="s">
        <v>109</v>
      </c>
      <c r="L16">
        <v>0</v>
      </c>
      <c r="M16">
        <v>0</v>
      </c>
      <c r="N16">
        <v>0</v>
      </c>
      <c r="O16">
        <v>-1.4222222222222201</v>
      </c>
    </row>
    <row r="17" spans="1:15" x14ac:dyDescent="0.35">
      <c r="A17" t="s">
        <v>108</v>
      </c>
      <c r="B17" t="s">
        <v>52</v>
      </c>
      <c r="C17" t="s">
        <v>7</v>
      </c>
      <c r="D17">
        <v>100020</v>
      </c>
      <c r="E17" t="s">
        <v>123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109</v>
      </c>
      <c r="L17">
        <v>0</v>
      </c>
      <c r="M17">
        <v>0</v>
      </c>
      <c r="N17">
        <v>0</v>
      </c>
      <c r="O17">
        <v>0</v>
      </c>
    </row>
    <row r="18" spans="1:15" x14ac:dyDescent="0.35">
      <c r="A18" t="s">
        <v>108</v>
      </c>
      <c r="B18" t="s">
        <v>52</v>
      </c>
      <c r="C18" t="s">
        <v>7</v>
      </c>
      <c r="D18">
        <v>100020</v>
      </c>
      <c r="E18" t="s">
        <v>124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109</v>
      </c>
      <c r="L18">
        <v>0</v>
      </c>
      <c r="M18">
        <v>0</v>
      </c>
      <c r="N18">
        <v>0</v>
      </c>
      <c r="O18">
        <v>0</v>
      </c>
    </row>
    <row r="19" spans="1:15" x14ac:dyDescent="0.35">
      <c r="A19" t="s">
        <v>108</v>
      </c>
      <c r="B19" t="s">
        <v>52</v>
      </c>
      <c r="C19" t="s">
        <v>7</v>
      </c>
      <c r="D19">
        <v>100020</v>
      </c>
      <c r="E19" t="s">
        <v>125</v>
      </c>
      <c r="F19">
        <v>3</v>
      </c>
      <c r="G19">
        <v>3</v>
      </c>
      <c r="H19">
        <v>0.153611111111111</v>
      </c>
      <c r="I19">
        <v>19.529837251356199</v>
      </c>
      <c r="J19">
        <v>19.529837251356199</v>
      </c>
      <c r="K19" t="s">
        <v>109</v>
      </c>
      <c r="L19">
        <v>0</v>
      </c>
      <c r="M19">
        <v>0</v>
      </c>
      <c r="N19">
        <v>0</v>
      </c>
      <c r="O19">
        <v>-0.153611111111111</v>
      </c>
    </row>
    <row r="20" spans="1:15" x14ac:dyDescent="0.35">
      <c r="A20" t="s">
        <v>108</v>
      </c>
      <c r="B20" t="s">
        <v>52</v>
      </c>
      <c r="C20" t="s">
        <v>7</v>
      </c>
      <c r="D20">
        <v>100020</v>
      </c>
      <c r="E20" t="s">
        <v>126</v>
      </c>
      <c r="F20">
        <v>2</v>
      </c>
      <c r="G20">
        <v>2</v>
      </c>
      <c r="H20">
        <v>5.1944444444444397E-2</v>
      </c>
      <c r="I20">
        <v>38.502673796791399</v>
      </c>
      <c r="J20">
        <v>38.502673796791399</v>
      </c>
      <c r="K20" t="s">
        <v>109</v>
      </c>
      <c r="L20">
        <v>0</v>
      </c>
      <c r="M20">
        <v>0</v>
      </c>
      <c r="N20">
        <v>0</v>
      </c>
      <c r="O20">
        <v>-5.1944444444444397E-2</v>
      </c>
    </row>
    <row r="21" spans="1:15" x14ac:dyDescent="0.35">
      <c r="A21" t="s">
        <v>108</v>
      </c>
      <c r="B21" t="s">
        <v>52</v>
      </c>
      <c r="C21" t="s">
        <v>7</v>
      </c>
      <c r="D21">
        <v>100020</v>
      </c>
      <c r="E21" t="s">
        <v>127</v>
      </c>
      <c r="F21">
        <v>0</v>
      </c>
      <c r="G21">
        <v>0</v>
      </c>
      <c r="H21">
        <v>0</v>
      </c>
      <c r="I21">
        <v>0</v>
      </c>
      <c r="J21">
        <v>0</v>
      </c>
      <c r="K21" t="s">
        <v>109</v>
      </c>
      <c r="L21">
        <v>0</v>
      </c>
      <c r="M21">
        <v>0</v>
      </c>
      <c r="N21">
        <v>0</v>
      </c>
      <c r="O21">
        <v>0</v>
      </c>
    </row>
    <row r="22" spans="1:15" x14ac:dyDescent="0.35">
      <c r="A22" t="s">
        <v>108</v>
      </c>
      <c r="B22" t="s">
        <v>52</v>
      </c>
      <c r="C22" t="s">
        <v>7</v>
      </c>
      <c r="D22">
        <v>100020</v>
      </c>
      <c r="E22" t="s">
        <v>128</v>
      </c>
      <c r="F22">
        <v>0</v>
      </c>
      <c r="G22">
        <v>0</v>
      </c>
      <c r="H22">
        <v>0</v>
      </c>
      <c r="I22">
        <v>0</v>
      </c>
      <c r="J22">
        <v>0</v>
      </c>
      <c r="K22" t="s">
        <v>109</v>
      </c>
      <c r="L22">
        <v>0</v>
      </c>
      <c r="M22">
        <v>0</v>
      </c>
      <c r="N22">
        <v>0</v>
      </c>
      <c r="O22">
        <v>0</v>
      </c>
    </row>
    <row r="23" spans="1:15" x14ac:dyDescent="0.35">
      <c r="A23" t="s">
        <v>108</v>
      </c>
      <c r="B23" t="s">
        <v>52</v>
      </c>
      <c r="C23" t="s">
        <v>7</v>
      </c>
      <c r="D23">
        <v>100020</v>
      </c>
      <c r="E23" t="s">
        <v>129</v>
      </c>
      <c r="F23">
        <v>15</v>
      </c>
      <c r="G23">
        <v>15</v>
      </c>
      <c r="H23">
        <v>0.61111111111111105</v>
      </c>
      <c r="I23">
        <v>24.545454545454501</v>
      </c>
      <c r="J23">
        <v>24.545454545454501</v>
      </c>
      <c r="K23" t="s">
        <v>109</v>
      </c>
      <c r="L23">
        <v>0</v>
      </c>
      <c r="M23">
        <v>0</v>
      </c>
      <c r="N23">
        <v>0</v>
      </c>
      <c r="O23">
        <v>-0.61111111111111105</v>
      </c>
    </row>
    <row r="24" spans="1:15" x14ac:dyDescent="0.35">
      <c r="A24" t="s">
        <v>108</v>
      </c>
      <c r="B24" t="s">
        <v>52</v>
      </c>
      <c r="C24" t="s">
        <v>7</v>
      </c>
      <c r="D24">
        <v>100020</v>
      </c>
      <c r="E24" t="s">
        <v>130</v>
      </c>
      <c r="F24">
        <v>3</v>
      </c>
      <c r="G24">
        <v>3</v>
      </c>
      <c r="H24">
        <v>2.8333333333333301E-2</v>
      </c>
      <c r="I24">
        <v>105.88235294117599</v>
      </c>
      <c r="J24">
        <v>105.88235294117599</v>
      </c>
      <c r="K24" t="s">
        <v>109</v>
      </c>
      <c r="L24">
        <v>0</v>
      </c>
      <c r="M24">
        <v>0</v>
      </c>
      <c r="N24">
        <v>0</v>
      </c>
      <c r="O24">
        <v>-2.8333333333333301E-2</v>
      </c>
    </row>
    <row r="25" spans="1:15" x14ac:dyDescent="0.35">
      <c r="A25" t="s">
        <v>108</v>
      </c>
      <c r="B25" t="s">
        <v>52</v>
      </c>
      <c r="C25" t="s">
        <v>7</v>
      </c>
      <c r="D25">
        <v>100020</v>
      </c>
      <c r="E25" t="s">
        <v>131</v>
      </c>
      <c r="F25">
        <v>0</v>
      </c>
      <c r="G25">
        <v>0</v>
      </c>
      <c r="H25">
        <v>0</v>
      </c>
      <c r="I25">
        <v>0</v>
      </c>
      <c r="J25">
        <v>0</v>
      </c>
      <c r="K25" t="s">
        <v>109</v>
      </c>
      <c r="L25">
        <v>0</v>
      </c>
      <c r="M25">
        <v>0</v>
      </c>
      <c r="N25">
        <v>0</v>
      </c>
      <c r="O25">
        <v>0</v>
      </c>
    </row>
    <row r="26" spans="1:15" x14ac:dyDescent="0.35">
      <c r="A26" t="s">
        <v>108</v>
      </c>
      <c r="B26" t="s">
        <v>52</v>
      </c>
      <c r="C26" t="s">
        <v>20</v>
      </c>
      <c r="D26">
        <v>100404</v>
      </c>
      <c r="F26">
        <v>21778</v>
      </c>
      <c r="G26">
        <v>21778</v>
      </c>
      <c r="H26">
        <v>12.25</v>
      </c>
      <c r="I26">
        <v>1777.7959183673399</v>
      </c>
      <c r="J26">
        <v>1777.7959183673399</v>
      </c>
      <c r="K26" t="s">
        <v>109</v>
      </c>
      <c r="L26">
        <v>959.76</v>
      </c>
      <c r="M26">
        <v>22.691089439026399</v>
      </c>
      <c r="N26">
        <v>185.23338317572501</v>
      </c>
      <c r="O26">
        <v>10.441089439026401</v>
      </c>
    </row>
    <row r="27" spans="1:15" x14ac:dyDescent="0.35">
      <c r="A27" t="s">
        <v>108</v>
      </c>
      <c r="B27" t="s">
        <v>52</v>
      </c>
      <c r="C27" t="s">
        <v>9</v>
      </c>
      <c r="D27">
        <v>100460</v>
      </c>
      <c r="F27">
        <v>21778</v>
      </c>
      <c r="G27">
        <v>21778</v>
      </c>
      <c r="H27">
        <v>15.75</v>
      </c>
      <c r="I27">
        <v>1382.7301587301499</v>
      </c>
      <c r="J27">
        <v>1382.7301587301499</v>
      </c>
      <c r="K27" t="s">
        <v>109</v>
      </c>
      <c r="L27">
        <v>0</v>
      </c>
      <c r="M27">
        <v>0</v>
      </c>
      <c r="N27">
        <v>0</v>
      </c>
      <c r="O27">
        <v>-15.75</v>
      </c>
    </row>
    <row r="28" spans="1:15" x14ac:dyDescent="0.35">
      <c r="A28" t="s">
        <v>108</v>
      </c>
      <c r="B28" t="s">
        <v>53</v>
      </c>
      <c r="C28" t="s">
        <v>1</v>
      </c>
      <c r="D28">
        <v>100440</v>
      </c>
      <c r="F28">
        <v>19414</v>
      </c>
      <c r="G28">
        <v>19414</v>
      </c>
      <c r="H28">
        <v>61.452777777777698</v>
      </c>
      <c r="I28">
        <v>315.91737106178999</v>
      </c>
      <c r="J28">
        <v>315.91737106178999</v>
      </c>
      <c r="K28" t="s">
        <v>109</v>
      </c>
      <c r="L28">
        <v>225.60999999999899</v>
      </c>
      <c r="M28">
        <v>86.051150214972694</v>
      </c>
      <c r="N28">
        <v>140.028088764589</v>
      </c>
      <c r="O28">
        <v>24.5983724371949</v>
      </c>
    </row>
    <row r="29" spans="1:15" x14ac:dyDescent="0.35">
      <c r="A29" t="s">
        <v>108</v>
      </c>
      <c r="B29" t="s">
        <v>53</v>
      </c>
      <c r="C29" t="s">
        <v>27</v>
      </c>
      <c r="D29">
        <v>100021</v>
      </c>
      <c r="E29" t="s">
        <v>110</v>
      </c>
      <c r="F29">
        <v>0</v>
      </c>
      <c r="G29">
        <v>0</v>
      </c>
      <c r="H29">
        <v>0</v>
      </c>
      <c r="I29">
        <v>0</v>
      </c>
      <c r="J29">
        <v>0</v>
      </c>
      <c r="K29" t="s">
        <v>109</v>
      </c>
      <c r="L29">
        <v>0</v>
      </c>
      <c r="M29">
        <v>0</v>
      </c>
      <c r="N29">
        <v>0</v>
      </c>
      <c r="O29">
        <v>0</v>
      </c>
    </row>
    <row r="30" spans="1:15" x14ac:dyDescent="0.35">
      <c r="A30" t="s">
        <v>108</v>
      </c>
      <c r="B30" t="s">
        <v>53</v>
      </c>
      <c r="C30" t="s">
        <v>27</v>
      </c>
      <c r="D30">
        <v>100021</v>
      </c>
      <c r="E30" t="s">
        <v>111</v>
      </c>
      <c r="F30">
        <v>5590</v>
      </c>
      <c r="G30">
        <v>5590</v>
      </c>
      <c r="H30">
        <v>20.385555555555499</v>
      </c>
      <c r="I30">
        <v>274.21376791846001</v>
      </c>
      <c r="J30">
        <v>274.21376791846001</v>
      </c>
      <c r="K30" t="s">
        <v>109</v>
      </c>
      <c r="L30">
        <v>325.04999999999899</v>
      </c>
      <c r="M30">
        <v>17.197354253191801</v>
      </c>
      <c r="N30">
        <v>84.360488515139394</v>
      </c>
      <c r="O30">
        <v>-3.1882013023637299</v>
      </c>
    </row>
    <row r="31" spans="1:15" x14ac:dyDescent="0.35">
      <c r="A31" t="s">
        <v>108</v>
      </c>
      <c r="B31" t="s">
        <v>53</v>
      </c>
      <c r="C31" t="s">
        <v>27</v>
      </c>
      <c r="D31">
        <v>100021</v>
      </c>
      <c r="E31" t="s">
        <v>112</v>
      </c>
      <c r="F31">
        <v>0</v>
      </c>
      <c r="G31">
        <v>0</v>
      </c>
      <c r="H31">
        <v>0</v>
      </c>
      <c r="I31">
        <v>0</v>
      </c>
      <c r="J31">
        <v>0</v>
      </c>
      <c r="K31" t="s">
        <v>109</v>
      </c>
      <c r="L31">
        <v>0</v>
      </c>
      <c r="M31">
        <v>0</v>
      </c>
      <c r="N31">
        <v>0</v>
      </c>
      <c r="O31">
        <v>0</v>
      </c>
    </row>
    <row r="32" spans="1:15" x14ac:dyDescent="0.35">
      <c r="A32" t="s">
        <v>108</v>
      </c>
      <c r="B32" t="s">
        <v>53</v>
      </c>
      <c r="C32" t="s">
        <v>27</v>
      </c>
      <c r="D32">
        <v>100021</v>
      </c>
      <c r="E32" t="s">
        <v>113</v>
      </c>
      <c r="F32">
        <v>0</v>
      </c>
      <c r="G32">
        <v>0</v>
      </c>
      <c r="H32">
        <v>0</v>
      </c>
      <c r="I32">
        <v>0</v>
      </c>
      <c r="J32">
        <v>0</v>
      </c>
      <c r="K32" t="s">
        <v>109</v>
      </c>
      <c r="L32">
        <v>0</v>
      </c>
      <c r="M32">
        <v>0</v>
      </c>
      <c r="N32">
        <v>0</v>
      </c>
      <c r="O32">
        <v>0</v>
      </c>
    </row>
    <row r="33" spans="1:15" x14ac:dyDescent="0.35">
      <c r="A33" t="s">
        <v>108</v>
      </c>
      <c r="B33" t="s">
        <v>53</v>
      </c>
      <c r="C33" t="s">
        <v>27</v>
      </c>
      <c r="D33">
        <v>100021</v>
      </c>
      <c r="E33" t="s">
        <v>114</v>
      </c>
      <c r="F33">
        <v>2808</v>
      </c>
      <c r="G33">
        <v>2808</v>
      </c>
      <c r="H33">
        <v>13.209444444444401</v>
      </c>
      <c r="I33">
        <v>212.575177692728</v>
      </c>
      <c r="J33">
        <v>212.575177692728</v>
      </c>
      <c r="K33" t="s">
        <v>109</v>
      </c>
      <c r="L33">
        <v>254.20999999999901</v>
      </c>
      <c r="M33">
        <v>11.0459856024546</v>
      </c>
      <c r="N33">
        <v>83.621878640780494</v>
      </c>
      <c r="O33">
        <v>-2.16345884198978</v>
      </c>
    </row>
    <row r="34" spans="1:15" x14ac:dyDescent="0.35">
      <c r="A34" t="s">
        <v>108</v>
      </c>
      <c r="B34" t="s">
        <v>53</v>
      </c>
      <c r="C34" t="s">
        <v>27</v>
      </c>
      <c r="D34">
        <v>100021</v>
      </c>
      <c r="E34" t="s">
        <v>115</v>
      </c>
      <c r="F34">
        <v>1003</v>
      </c>
      <c r="G34">
        <v>1003</v>
      </c>
      <c r="H34">
        <v>4.0191666666666599</v>
      </c>
      <c r="I34">
        <v>249.55421936554001</v>
      </c>
      <c r="J34">
        <v>249.55421936554001</v>
      </c>
      <c r="K34" t="s">
        <v>109</v>
      </c>
      <c r="L34">
        <v>183.629999999999</v>
      </c>
      <c r="M34">
        <v>5.4620704677884797</v>
      </c>
      <c r="N34">
        <v>135.90057145648299</v>
      </c>
      <c r="O34">
        <v>1.44290380112182</v>
      </c>
    </row>
    <row r="35" spans="1:15" x14ac:dyDescent="0.35">
      <c r="A35" t="s">
        <v>108</v>
      </c>
      <c r="B35" t="s">
        <v>53</v>
      </c>
      <c r="C35" t="s">
        <v>27</v>
      </c>
      <c r="D35">
        <v>100021</v>
      </c>
      <c r="E35" t="s">
        <v>116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109</v>
      </c>
      <c r="L35">
        <v>0</v>
      </c>
      <c r="M35">
        <v>0</v>
      </c>
      <c r="N35">
        <v>0</v>
      </c>
      <c r="O35">
        <v>0</v>
      </c>
    </row>
    <row r="36" spans="1:15" x14ac:dyDescent="0.35">
      <c r="A36" t="s">
        <v>108</v>
      </c>
      <c r="B36" t="s">
        <v>53</v>
      </c>
      <c r="C36" t="s">
        <v>27</v>
      </c>
      <c r="D36">
        <v>100021</v>
      </c>
      <c r="E36" t="s">
        <v>117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109</v>
      </c>
      <c r="L36">
        <v>0</v>
      </c>
      <c r="M36">
        <v>0</v>
      </c>
      <c r="N36">
        <v>0</v>
      </c>
      <c r="O36">
        <v>0</v>
      </c>
    </row>
    <row r="37" spans="1:15" x14ac:dyDescent="0.35">
      <c r="A37" t="s">
        <v>108</v>
      </c>
      <c r="B37" t="s">
        <v>53</v>
      </c>
      <c r="C37" t="s">
        <v>27</v>
      </c>
      <c r="D37">
        <v>100021</v>
      </c>
      <c r="E37" t="s">
        <v>118</v>
      </c>
      <c r="F37">
        <v>9797</v>
      </c>
      <c r="G37">
        <v>9797</v>
      </c>
      <c r="H37">
        <v>29.373333333333299</v>
      </c>
      <c r="I37">
        <v>333.53381752156099</v>
      </c>
      <c r="J37">
        <v>333.53381752156099</v>
      </c>
      <c r="K37" t="s">
        <v>109</v>
      </c>
      <c r="L37">
        <v>471.68</v>
      </c>
      <c r="M37">
        <v>20.770437584803201</v>
      </c>
      <c r="N37">
        <v>70.711884650941599</v>
      </c>
      <c r="O37">
        <v>-8.6028957485300808</v>
      </c>
    </row>
    <row r="38" spans="1:15" x14ac:dyDescent="0.35">
      <c r="A38" t="s">
        <v>108</v>
      </c>
      <c r="B38" t="s">
        <v>53</v>
      </c>
      <c r="C38" t="s">
        <v>27</v>
      </c>
      <c r="D38">
        <v>100021</v>
      </c>
      <c r="E38" t="s">
        <v>119</v>
      </c>
      <c r="F38">
        <v>1</v>
      </c>
      <c r="G38">
        <v>1</v>
      </c>
      <c r="H38">
        <v>1.3888888888888801E-3</v>
      </c>
      <c r="I38">
        <v>720</v>
      </c>
      <c r="J38">
        <v>720</v>
      </c>
      <c r="K38" t="s">
        <v>109</v>
      </c>
      <c r="L38">
        <v>251.6</v>
      </c>
      <c r="M38">
        <v>3.9745627980922096E-3</v>
      </c>
      <c r="N38">
        <v>286.16852146263898</v>
      </c>
      <c r="O38">
        <v>2.58567390920332E-3</v>
      </c>
    </row>
    <row r="39" spans="1:15" x14ac:dyDescent="0.35">
      <c r="A39" t="s">
        <v>108</v>
      </c>
      <c r="B39" t="s">
        <v>53</v>
      </c>
      <c r="C39" t="s">
        <v>27</v>
      </c>
      <c r="D39">
        <v>100021</v>
      </c>
      <c r="E39" t="s">
        <v>121</v>
      </c>
      <c r="F39">
        <v>0</v>
      </c>
      <c r="G39">
        <v>0</v>
      </c>
      <c r="H39">
        <v>0</v>
      </c>
      <c r="I39">
        <v>0</v>
      </c>
      <c r="J39">
        <v>0</v>
      </c>
      <c r="K39" t="s">
        <v>109</v>
      </c>
      <c r="L39">
        <v>0</v>
      </c>
      <c r="M39">
        <v>0</v>
      </c>
      <c r="N39">
        <v>0</v>
      </c>
      <c r="O39">
        <v>0</v>
      </c>
    </row>
    <row r="40" spans="1:15" x14ac:dyDescent="0.35">
      <c r="A40" t="s">
        <v>108</v>
      </c>
      <c r="B40" t="s">
        <v>53</v>
      </c>
      <c r="C40" t="s">
        <v>27</v>
      </c>
      <c r="D40">
        <v>100021</v>
      </c>
      <c r="E40" t="s">
        <v>122</v>
      </c>
      <c r="F40">
        <v>80</v>
      </c>
      <c r="G40">
        <v>80</v>
      </c>
      <c r="H40">
        <v>0.21472222222222201</v>
      </c>
      <c r="I40">
        <v>372.57438551099602</v>
      </c>
      <c r="J40">
        <v>372.57438551099602</v>
      </c>
      <c r="K40" t="s">
        <v>109</v>
      </c>
      <c r="L40">
        <v>325.05</v>
      </c>
      <c r="M40">
        <v>0.246115982156591</v>
      </c>
      <c r="N40">
        <v>114.620638520534</v>
      </c>
      <c r="O40">
        <v>3.1393759934368999E-2</v>
      </c>
    </row>
    <row r="41" spans="1:15" x14ac:dyDescent="0.35">
      <c r="A41" t="s">
        <v>108</v>
      </c>
      <c r="B41" t="s">
        <v>53</v>
      </c>
      <c r="C41" t="s">
        <v>27</v>
      </c>
      <c r="D41">
        <v>100021</v>
      </c>
      <c r="E41" t="s">
        <v>123</v>
      </c>
      <c r="F41">
        <v>0</v>
      </c>
      <c r="G41">
        <v>0</v>
      </c>
      <c r="H41">
        <v>0</v>
      </c>
      <c r="I41">
        <v>0</v>
      </c>
      <c r="J41">
        <v>0</v>
      </c>
      <c r="K41" t="s">
        <v>109</v>
      </c>
      <c r="L41">
        <v>0</v>
      </c>
      <c r="M41">
        <v>0</v>
      </c>
      <c r="N41">
        <v>0</v>
      </c>
      <c r="O41">
        <v>0</v>
      </c>
    </row>
    <row r="42" spans="1:15" x14ac:dyDescent="0.35">
      <c r="A42" t="s">
        <v>108</v>
      </c>
      <c r="B42" t="s">
        <v>53</v>
      </c>
      <c r="C42" t="s">
        <v>27</v>
      </c>
      <c r="D42">
        <v>100021</v>
      </c>
      <c r="E42" t="s">
        <v>124</v>
      </c>
      <c r="F42">
        <v>0</v>
      </c>
      <c r="G42">
        <v>0</v>
      </c>
      <c r="H42">
        <v>0</v>
      </c>
      <c r="I42">
        <v>0</v>
      </c>
      <c r="J42">
        <v>0</v>
      </c>
      <c r="K42" t="s">
        <v>109</v>
      </c>
      <c r="L42">
        <v>0</v>
      </c>
      <c r="M42">
        <v>0</v>
      </c>
      <c r="N42">
        <v>0</v>
      </c>
      <c r="O42">
        <v>0</v>
      </c>
    </row>
    <row r="43" spans="1:15" x14ac:dyDescent="0.35">
      <c r="A43" t="s">
        <v>108</v>
      </c>
      <c r="B43" t="s">
        <v>53</v>
      </c>
      <c r="C43" t="s">
        <v>27</v>
      </c>
      <c r="D43">
        <v>100021</v>
      </c>
      <c r="E43" t="s">
        <v>125</v>
      </c>
      <c r="F43">
        <v>30</v>
      </c>
      <c r="G43">
        <v>30</v>
      </c>
      <c r="H43">
        <v>5.5277777777777697E-2</v>
      </c>
      <c r="I43">
        <v>542.713567839196</v>
      </c>
      <c r="J43">
        <v>542.713567839196</v>
      </c>
      <c r="K43" t="s">
        <v>109</v>
      </c>
      <c r="L43">
        <v>254.21</v>
      </c>
      <c r="M43">
        <v>0.118012666692891</v>
      </c>
      <c r="N43">
        <v>213.490251303723</v>
      </c>
      <c r="O43">
        <v>6.2734888915113904E-2</v>
      </c>
    </row>
    <row r="44" spans="1:15" x14ac:dyDescent="0.35">
      <c r="A44" t="s">
        <v>108</v>
      </c>
      <c r="B44" t="s">
        <v>53</v>
      </c>
      <c r="C44" t="s">
        <v>27</v>
      </c>
      <c r="D44">
        <v>100021</v>
      </c>
      <c r="E44" t="s">
        <v>126</v>
      </c>
      <c r="F44">
        <v>11</v>
      </c>
      <c r="G44">
        <v>11</v>
      </c>
      <c r="H44">
        <v>0.26166666666666599</v>
      </c>
      <c r="I44">
        <v>42.038216560509497</v>
      </c>
      <c r="J44">
        <v>42.038216560509497</v>
      </c>
      <c r="K44" t="s">
        <v>109</v>
      </c>
      <c r="L44">
        <v>183.629999999999</v>
      </c>
      <c r="M44">
        <v>5.9903065947829799E-2</v>
      </c>
      <c r="N44">
        <v>22.8928914450305</v>
      </c>
      <c r="O44">
        <v>-0.20176360071883601</v>
      </c>
    </row>
    <row r="45" spans="1:15" x14ac:dyDescent="0.35">
      <c r="A45" t="s">
        <v>108</v>
      </c>
      <c r="B45" t="s">
        <v>53</v>
      </c>
      <c r="C45" t="s">
        <v>27</v>
      </c>
      <c r="D45">
        <v>100021</v>
      </c>
      <c r="E45" t="s">
        <v>127</v>
      </c>
      <c r="F45">
        <v>0</v>
      </c>
      <c r="G45">
        <v>0</v>
      </c>
      <c r="H45">
        <v>0</v>
      </c>
      <c r="I45">
        <v>0</v>
      </c>
      <c r="J45">
        <v>0</v>
      </c>
      <c r="K45" t="s">
        <v>109</v>
      </c>
      <c r="L45">
        <v>0</v>
      </c>
      <c r="M45">
        <v>0</v>
      </c>
      <c r="N45">
        <v>0</v>
      </c>
      <c r="O45">
        <v>0</v>
      </c>
    </row>
    <row r="46" spans="1:15" x14ac:dyDescent="0.35">
      <c r="A46" t="s">
        <v>108</v>
      </c>
      <c r="B46" t="s">
        <v>53</v>
      </c>
      <c r="C46" t="s">
        <v>27</v>
      </c>
      <c r="D46">
        <v>100021</v>
      </c>
      <c r="E46" t="s">
        <v>128</v>
      </c>
      <c r="F46">
        <v>0</v>
      </c>
      <c r="G46">
        <v>0</v>
      </c>
      <c r="H46">
        <v>0</v>
      </c>
      <c r="I46">
        <v>0</v>
      </c>
      <c r="J46">
        <v>0</v>
      </c>
      <c r="K46" t="s">
        <v>109</v>
      </c>
      <c r="L46">
        <v>0</v>
      </c>
      <c r="M46">
        <v>0</v>
      </c>
      <c r="N46">
        <v>0</v>
      </c>
      <c r="O46">
        <v>0</v>
      </c>
    </row>
    <row r="47" spans="1:15" x14ac:dyDescent="0.35">
      <c r="A47" t="s">
        <v>108</v>
      </c>
      <c r="B47" t="s">
        <v>53</v>
      </c>
      <c r="C47" t="s">
        <v>27</v>
      </c>
      <c r="D47">
        <v>100021</v>
      </c>
      <c r="E47" t="s">
        <v>129</v>
      </c>
      <c r="F47">
        <v>94</v>
      </c>
      <c r="G47">
        <v>94</v>
      </c>
      <c r="H47">
        <v>0.12</v>
      </c>
      <c r="I47">
        <v>783.33333333333303</v>
      </c>
      <c r="J47">
        <v>783.33333333333303</v>
      </c>
      <c r="K47" t="s">
        <v>109</v>
      </c>
      <c r="L47">
        <v>471.68</v>
      </c>
      <c r="M47">
        <v>0.19928765264586101</v>
      </c>
      <c r="N47">
        <v>166.07304387155099</v>
      </c>
      <c r="O47">
        <v>7.92876526458616E-2</v>
      </c>
    </row>
    <row r="48" spans="1:15" x14ac:dyDescent="0.35">
      <c r="A48" t="s">
        <v>108</v>
      </c>
      <c r="B48" t="s">
        <v>53</v>
      </c>
      <c r="C48" t="s">
        <v>27</v>
      </c>
      <c r="D48">
        <v>100021</v>
      </c>
      <c r="E48" t="s">
        <v>130</v>
      </c>
      <c r="F48">
        <v>0</v>
      </c>
      <c r="G48">
        <v>0</v>
      </c>
      <c r="H48">
        <v>0</v>
      </c>
      <c r="I48">
        <v>0</v>
      </c>
      <c r="J48">
        <v>0</v>
      </c>
      <c r="K48" t="s">
        <v>109</v>
      </c>
      <c r="L48">
        <v>0</v>
      </c>
      <c r="M48">
        <v>0</v>
      </c>
      <c r="N48">
        <v>0</v>
      </c>
      <c r="O48">
        <v>0</v>
      </c>
    </row>
    <row r="49" spans="1:15" x14ac:dyDescent="0.35">
      <c r="A49" t="s">
        <v>108</v>
      </c>
      <c r="B49" t="s">
        <v>53</v>
      </c>
      <c r="C49" t="s">
        <v>25</v>
      </c>
      <c r="D49">
        <v>100461</v>
      </c>
      <c r="F49">
        <v>19414</v>
      </c>
      <c r="G49">
        <v>19414</v>
      </c>
      <c r="H49">
        <v>9.0833333333333304</v>
      </c>
      <c r="I49">
        <v>2137.3211009174302</v>
      </c>
      <c r="J49">
        <v>2137.3211009174302</v>
      </c>
      <c r="K49" t="s">
        <v>109</v>
      </c>
      <c r="L49">
        <v>0</v>
      </c>
      <c r="M49">
        <v>0</v>
      </c>
      <c r="N49">
        <v>0</v>
      </c>
      <c r="O49">
        <v>-9.0833333333333304</v>
      </c>
    </row>
    <row r="50" spans="1:15" x14ac:dyDescent="0.35">
      <c r="A50" t="s">
        <v>108</v>
      </c>
      <c r="B50" t="s">
        <v>54</v>
      </c>
      <c r="C50" t="s">
        <v>32</v>
      </c>
      <c r="D50">
        <v>100407</v>
      </c>
      <c r="E50" t="s">
        <v>110</v>
      </c>
      <c r="F50">
        <v>0</v>
      </c>
      <c r="G50">
        <v>0</v>
      </c>
      <c r="H50">
        <v>0</v>
      </c>
      <c r="I50">
        <v>0</v>
      </c>
      <c r="J50">
        <v>0</v>
      </c>
      <c r="K50" t="s">
        <v>109</v>
      </c>
      <c r="L50">
        <v>0</v>
      </c>
      <c r="M50">
        <v>0</v>
      </c>
      <c r="N50">
        <v>0</v>
      </c>
      <c r="O50">
        <v>0</v>
      </c>
    </row>
    <row r="51" spans="1:15" x14ac:dyDescent="0.35">
      <c r="A51" t="s">
        <v>108</v>
      </c>
      <c r="B51" t="s">
        <v>54</v>
      </c>
      <c r="C51" t="s">
        <v>32</v>
      </c>
      <c r="D51">
        <v>100407</v>
      </c>
      <c r="E51" t="s">
        <v>121</v>
      </c>
      <c r="F51">
        <v>0</v>
      </c>
      <c r="G51">
        <v>0</v>
      </c>
      <c r="H51">
        <v>0</v>
      </c>
      <c r="I51">
        <v>0</v>
      </c>
      <c r="J51">
        <v>0</v>
      </c>
      <c r="K51" t="s">
        <v>109</v>
      </c>
      <c r="L51">
        <v>0</v>
      </c>
      <c r="M51">
        <v>0</v>
      </c>
      <c r="N51">
        <v>0</v>
      </c>
      <c r="O51">
        <v>0</v>
      </c>
    </row>
    <row r="52" spans="1:15" x14ac:dyDescent="0.35">
      <c r="A52" t="s">
        <v>108</v>
      </c>
      <c r="B52" t="s">
        <v>54</v>
      </c>
      <c r="C52" t="s">
        <v>32</v>
      </c>
      <c r="D52">
        <v>100407</v>
      </c>
      <c r="E52" t="s">
        <v>132</v>
      </c>
      <c r="F52">
        <v>0</v>
      </c>
      <c r="G52">
        <v>0</v>
      </c>
      <c r="H52">
        <v>0</v>
      </c>
      <c r="I52">
        <v>0</v>
      </c>
      <c r="J52">
        <v>0</v>
      </c>
      <c r="K52" t="s">
        <v>109</v>
      </c>
      <c r="L52">
        <v>0</v>
      </c>
      <c r="M52">
        <v>0</v>
      </c>
      <c r="N52">
        <v>0</v>
      </c>
      <c r="O52">
        <v>0</v>
      </c>
    </row>
    <row r="53" spans="1:15" x14ac:dyDescent="0.35">
      <c r="A53" t="s">
        <v>108</v>
      </c>
      <c r="B53" t="s">
        <v>54</v>
      </c>
      <c r="C53" t="s">
        <v>32</v>
      </c>
      <c r="D53">
        <v>100407</v>
      </c>
      <c r="E53" t="s">
        <v>133</v>
      </c>
      <c r="F53">
        <v>0</v>
      </c>
      <c r="G53">
        <v>0</v>
      </c>
      <c r="H53">
        <v>0</v>
      </c>
      <c r="I53">
        <v>0</v>
      </c>
      <c r="J53">
        <v>0</v>
      </c>
      <c r="K53" t="s">
        <v>109</v>
      </c>
      <c r="L53">
        <v>0</v>
      </c>
      <c r="M53">
        <v>0</v>
      </c>
      <c r="N53">
        <v>0</v>
      </c>
      <c r="O53">
        <v>0</v>
      </c>
    </row>
    <row r="54" spans="1:15" x14ac:dyDescent="0.35">
      <c r="A54" t="s">
        <v>108</v>
      </c>
      <c r="B54" t="s">
        <v>54</v>
      </c>
      <c r="C54" t="s">
        <v>32</v>
      </c>
      <c r="D54">
        <v>100407</v>
      </c>
      <c r="E54" t="s">
        <v>134</v>
      </c>
      <c r="F54">
        <v>0</v>
      </c>
      <c r="G54">
        <v>0</v>
      </c>
      <c r="H54">
        <v>0</v>
      </c>
      <c r="I54">
        <v>0</v>
      </c>
      <c r="J54">
        <v>0</v>
      </c>
      <c r="K54" t="s">
        <v>109</v>
      </c>
      <c r="L54">
        <v>0</v>
      </c>
      <c r="M54">
        <v>0</v>
      </c>
      <c r="N54">
        <v>0</v>
      </c>
      <c r="O54">
        <v>0</v>
      </c>
    </row>
    <row r="55" spans="1:15" x14ac:dyDescent="0.35">
      <c r="A55" t="s">
        <v>108</v>
      </c>
      <c r="B55" t="s">
        <v>54</v>
      </c>
      <c r="C55" t="s">
        <v>32</v>
      </c>
      <c r="D55">
        <v>100407</v>
      </c>
      <c r="E55" t="s">
        <v>135</v>
      </c>
      <c r="F55">
        <v>0</v>
      </c>
      <c r="G55">
        <v>0</v>
      </c>
      <c r="H55">
        <v>0</v>
      </c>
      <c r="I55">
        <v>0</v>
      </c>
      <c r="J55">
        <v>0</v>
      </c>
      <c r="K55" t="s">
        <v>109</v>
      </c>
      <c r="L55">
        <v>0</v>
      </c>
      <c r="M55">
        <v>0</v>
      </c>
      <c r="N55">
        <v>0</v>
      </c>
      <c r="O55">
        <v>0</v>
      </c>
    </row>
    <row r="56" spans="1:15" x14ac:dyDescent="0.35">
      <c r="A56" t="s">
        <v>108</v>
      </c>
      <c r="B56" t="s">
        <v>54</v>
      </c>
      <c r="C56" t="s">
        <v>32</v>
      </c>
      <c r="D56">
        <v>100407</v>
      </c>
      <c r="E56" t="s">
        <v>136</v>
      </c>
      <c r="F56">
        <v>4793</v>
      </c>
      <c r="G56">
        <v>4793</v>
      </c>
      <c r="H56">
        <v>70.679722222222196</v>
      </c>
      <c r="I56">
        <v>67.812943363450898</v>
      </c>
      <c r="J56">
        <v>67.812943363450898</v>
      </c>
      <c r="K56" t="s">
        <v>109</v>
      </c>
      <c r="L56">
        <v>612.67999999999904</v>
      </c>
      <c r="M56">
        <v>7.8230071162760302</v>
      </c>
      <c r="N56">
        <v>11.068248247609001</v>
      </c>
      <c r="O56">
        <v>-62.856715105946101</v>
      </c>
    </row>
    <row r="57" spans="1:15" x14ac:dyDescent="0.35">
      <c r="A57" t="s">
        <v>108</v>
      </c>
      <c r="B57" t="s">
        <v>54</v>
      </c>
      <c r="C57" t="s">
        <v>32</v>
      </c>
      <c r="D57">
        <v>100407</v>
      </c>
      <c r="E57" t="s">
        <v>137</v>
      </c>
      <c r="F57">
        <v>92</v>
      </c>
      <c r="G57">
        <v>92</v>
      </c>
      <c r="H57">
        <v>2.6675</v>
      </c>
      <c r="I57">
        <v>34.489222118088101</v>
      </c>
      <c r="J57">
        <v>34.489222118088101</v>
      </c>
      <c r="K57" t="s">
        <v>109</v>
      </c>
      <c r="L57">
        <v>612.67999999999995</v>
      </c>
      <c r="M57">
        <v>0.15015995299340601</v>
      </c>
      <c r="N57">
        <v>5.6292391000339599</v>
      </c>
      <c r="O57">
        <v>-2.5173400470065901</v>
      </c>
    </row>
    <row r="58" spans="1:15" x14ac:dyDescent="0.35">
      <c r="A58" t="s">
        <v>108</v>
      </c>
      <c r="B58" t="s">
        <v>54</v>
      </c>
      <c r="C58" t="s">
        <v>32</v>
      </c>
      <c r="D58">
        <v>100407</v>
      </c>
      <c r="E58" t="s">
        <v>138</v>
      </c>
      <c r="F58">
        <v>0</v>
      </c>
      <c r="G58">
        <v>0</v>
      </c>
      <c r="H58">
        <v>0</v>
      </c>
      <c r="I58">
        <v>0</v>
      </c>
      <c r="J58">
        <v>0</v>
      </c>
      <c r="K58" t="s">
        <v>109</v>
      </c>
      <c r="L58">
        <v>0</v>
      </c>
      <c r="M58">
        <v>0</v>
      </c>
      <c r="N58">
        <v>0</v>
      </c>
      <c r="O58">
        <v>0</v>
      </c>
    </row>
    <row r="59" spans="1:15" x14ac:dyDescent="0.35">
      <c r="A59" t="s">
        <v>108</v>
      </c>
      <c r="B59" t="s">
        <v>54</v>
      </c>
      <c r="C59" t="s">
        <v>32</v>
      </c>
      <c r="D59">
        <v>100407</v>
      </c>
      <c r="E59" t="s">
        <v>139</v>
      </c>
      <c r="F59">
        <v>0</v>
      </c>
      <c r="G59">
        <v>0</v>
      </c>
      <c r="H59">
        <v>0</v>
      </c>
      <c r="I59">
        <v>0</v>
      </c>
      <c r="J59">
        <v>0</v>
      </c>
      <c r="K59" t="s">
        <v>109</v>
      </c>
      <c r="L59">
        <v>0</v>
      </c>
      <c r="M59">
        <v>0</v>
      </c>
      <c r="N59">
        <v>0</v>
      </c>
      <c r="O59">
        <v>0</v>
      </c>
    </row>
    <row r="60" spans="1:15" x14ac:dyDescent="0.35">
      <c r="A60" t="s">
        <v>108</v>
      </c>
      <c r="B60" t="s">
        <v>54</v>
      </c>
      <c r="C60" t="s">
        <v>32</v>
      </c>
      <c r="D60">
        <v>100407</v>
      </c>
      <c r="E60" t="s">
        <v>140</v>
      </c>
      <c r="F60">
        <v>2530</v>
      </c>
      <c r="G60">
        <v>36877</v>
      </c>
      <c r="H60">
        <v>64.206388888888895</v>
      </c>
      <c r="I60">
        <v>39.404178365773497</v>
      </c>
      <c r="J60">
        <v>574.35094292277904</v>
      </c>
      <c r="K60" t="s">
        <v>109</v>
      </c>
      <c r="L60">
        <v>612.67999999999995</v>
      </c>
      <c r="M60">
        <v>4.1293987073186598</v>
      </c>
      <c r="N60">
        <v>6.4314451860307997</v>
      </c>
      <c r="O60">
        <v>-60.076990181570203</v>
      </c>
    </row>
    <row r="61" spans="1:15" x14ac:dyDescent="0.35">
      <c r="A61" t="s">
        <v>108</v>
      </c>
      <c r="B61" t="s">
        <v>54</v>
      </c>
      <c r="C61" t="s">
        <v>32</v>
      </c>
      <c r="D61">
        <v>100407</v>
      </c>
      <c r="E61" t="s">
        <v>141</v>
      </c>
      <c r="F61">
        <v>49</v>
      </c>
      <c r="G61">
        <v>700</v>
      </c>
      <c r="H61">
        <v>3.8174999999999999</v>
      </c>
      <c r="I61">
        <v>12.835625409299199</v>
      </c>
      <c r="J61">
        <v>183.36607727570399</v>
      </c>
      <c r="K61" t="s">
        <v>109</v>
      </c>
      <c r="L61">
        <v>612.67999999999904</v>
      </c>
      <c r="M61">
        <v>7.99764967030097E-2</v>
      </c>
      <c r="N61">
        <v>2.0949966392405899</v>
      </c>
      <c r="O61">
        <v>-3.7375235032969898</v>
      </c>
    </row>
    <row r="62" spans="1:15" x14ac:dyDescent="0.35">
      <c r="A62" t="s">
        <v>108</v>
      </c>
      <c r="B62" t="s">
        <v>54</v>
      </c>
      <c r="C62" t="s">
        <v>142</v>
      </c>
      <c r="D62">
        <v>100472</v>
      </c>
      <c r="E62" t="s">
        <v>143</v>
      </c>
      <c r="F62">
        <v>0</v>
      </c>
      <c r="G62">
        <v>0</v>
      </c>
      <c r="H62">
        <v>0</v>
      </c>
      <c r="I62">
        <v>0</v>
      </c>
      <c r="J62">
        <v>0</v>
      </c>
      <c r="K62" t="s">
        <v>109</v>
      </c>
      <c r="L62">
        <v>0</v>
      </c>
      <c r="M62">
        <v>0</v>
      </c>
      <c r="N62">
        <v>0</v>
      </c>
      <c r="O62">
        <v>0</v>
      </c>
    </row>
    <row r="63" spans="1:15" x14ac:dyDescent="0.35">
      <c r="A63" t="s">
        <v>108</v>
      </c>
      <c r="B63" t="s">
        <v>54</v>
      </c>
      <c r="C63" t="s">
        <v>142</v>
      </c>
      <c r="D63">
        <v>100472</v>
      </c>
      <c r="E63" t="s">
        <v>144</v>
      </c>
      <c r="F63">
        <v>0</v>
      </c>
      <c r="G63">
        <v>0</v>
      </c>
      <c r="H63">
        <v>0</v>
      </c>
      <c r="I63">
        <v>0</v>
      </c>
      <c r="J63">
        <v>0</v>
      </c>
      <c r="K63" t="s">
        <v>109</v>
      </c>
      <c r="L63">
        <v>0</v>
      </c>
      <c r="M63">
        <v>0</v>
      </c>
      <c r="N63">
        <v>0</v>
      </c>
      <c r="O63">
        <v>0</v>
      </c>
    </row>
    <row r="64" spans="1:15" x14ac:dyDescent="0.35">
      <c r="A64" t="s">
        <v>108</v>
      </c>
      <c r="B64" t="s">
        <v>54</v>
      </c>
      <c r="C64" t="s">
        <v>142</v>
      </c>
      <c r="D64">
        <v>100472</v>
      </c>
      <c r="E64" t="s">
        <v>145</v>
      </c>
      <c r="F64">
        <v>0</v>
      </c>
      <c r="G64">
        <v>0</v>
      </c>
      <c r="H64">
        <v>0</v>
      </c>
      <c r="I64">
        <v>0</v>
      </c>
      <c r="J64">
        <v>0</v>
      </c>
      <c r="K64" t="s">
        <v>109</v>
      </c>
      <c r="L64">
        <v>0</v>
      </c>
      <c r="M64">
        <v>0</v>
      </c>
      <c r="N64">
        <v>0</v>
      </c>
      <c r="O64">
        <v>0</v>
      </c>
    </row>
    <row r="65" spans="1:15" x14ac:dyDescent="0.35">
      <c r="A65" t="s">
        <v>108</v>
      </c>
      <c r="B65" t="s">
        <v>54</v>
      </c>
      <c r="C65" t="s">
        <v>142</v>
      </c>
      <c r="D65">
        <v>100472</v>
      </c>
      <c r="E65" t="s">
        <v>146</v>
      </c>
      <c r="F65">
        <v>0</v>
      </c>
      <c r="G65">
        <v>0</v>
      </c>
      <c r="H65">
        <v>0</v>
      </c>
      <c r="I65">
        <v>0</v>
      </c>
      <c r="J65">
        <v>0</v>
      </c>
      <c r="K65" t="s">
        <v>109</v>
      </c>
      <c r="L65">
        <v>0</v>
      </c>
      <c r="M65">
        <v>0</v>
      </c>
      <c r="N65">
        <v>0</v>
      </c>
      <c r="O65">
        <v>0</v>
      </c>
    </row>
    <row r="66" spans="1:15" x14ac:dyDescent="0.35">
      <c r="A66" t="s">
        <v>108</v>
      </c>
      <c r="B66" t="s">
        <v>54</v>
      </c>
      <c r="C66" t="s">
        <v>142</v>
      </c>
      <c r="D66">
        <v>100472</v>
      </c>
      <c r="E66" t="s">
        <v>147</v>
      </c>
      <c r="F66">
        <v>0</v>
      </c>
      <c r="G66">
        <v>0</v>
      </c>
      <c r="H66">
        <v>0</v>
      </c>
      <c r="I66">
        <v>0</v>
      </c>
      <c r="J66">
        <v>0</v>
      </c>
      <c r="K66" t="s">
        <v>109</v>
      </c>
      <c r="L66">
        <v>0</v>
      </c>
      <c r="M66">
        <v>0</v>
      </c>
      <c r="N66">
        <v>0</v>
      </c>
      <c r="O66">
        <v>0</v>
      </c>
    </row>
    <row r="67" spans="1:15" x14ac:dyDescent="0.35">
      <c r="A67" t="s">
        <v>108</v>
      </c>
      <c r="B67" t="s">
        <v>54</v>
      </c>
      <c r="C67" t="s">
        <v>142</v>
      </c>
      <c r="D67">
        <v>100472</v>
      </c>
      <c r="E67" t="s">
        <v>148</v>
      </c>
      <c r="F67">
        <v>0</v>
      </c>
      <c r="G67">
        <v>0</v>
      </c>
      <c r="H67">
        <v>0</v>
      </c>
      <c r="I67">
        <v>0</v>
      </c>
      <c r="J67">
        <v>0</v>
      </c>
      <c r="K67" t="s">
        <v>109</v>
      </c>
      <c r="L67">
        <v>0</v>
      </c>
      <c r="M67">
        <v>0</v>
      </c>
      <c r="N67">
        <v>0</v>
      </c>
      <c r="O67">
        <v>0</v>
      </c>
    </row>
    <row r="68" spans="1:15" x14ac:dyDescent="0.35">
      <c r="A68" t="s">
        <v>108</v>
      </c>
      <c r="B68" t="s">
        <v>54</v>
      </c>
      <c r="C68" t="s">
        <v>142</v>
      </c>
      <c r="D68">
        <v>100472</v>
      </c>
      <c r="E68" t="s">
        <v>149</v>
      </c>
      <c r="F68">
        <v>0</v>
      </c>
      <c r="G68">
        <v>0</v>
      </c>
      <c r="H68">
        <v>0</v>
      </c>
      <c r="I68">
        <v>0</v>
      </c>
      <c r="J68">
        <v>0</v>
      </c>
      <c r="K68" t="s">
        <v>109</v>
      </c>
      <c r="L68">
        <v>0</v>
      </c>
      <c r="M68">
        <v>0</v>
      </c>
      <c r="N68">
        <v>0</v>
      </c>
      <c r="O68">
        <v>0</v>
      </c>
    </row>
    <row r="69" spans="1:15" x14ac:dyDescent="0.35">
      <c r="A69" t="s">
        <v>108</v>
      </c>
      <c r="B69" t="s">
        <v>54</v>
      </c>
      <c r="C69" t="s">
        <v>142</v>
      </c>
      <c r="D69">
        <v>100472</v>
      </c>
      <c r="E69" t="s">
        <v>150</v>
      </c>
      <c r="F69">
        <v>0</v>
      </c>
      <c r="G69">
        <v>0</v>
      </c>
      <c r="H69">
        <v>0</v>
      </c>
      <c r="I69">
        <v>0</v>
      </c>
      <c r="J69">
        <v>0</v>
      </c>
      <c r="K69" t="s">
        <v>109</v>
      </c>
      <c r="L69">
        <v>0</v>
      </c>
      <c r="M69">
        <v>0</v>
      </c>
      <c r="N69">
        <v>0</v>
      </c>
      <c r="O69">
        <v>0</v>
      </c>
    </row>
    <row r="70" spans="1:15" x14ac:dyDescent="0.35">
      <c r="A70" t="s">
        <v>108</v>
      </c>
      <c r="B70" t="s">
        <v>54</v>
      </c>
      <c r="C70" t="s">
        <v>142</v>
      </c>
      <c r="D70">
        <v>100472</v>
      </c>
      <c r="E70" t="s">
        <v>151</v>
      </c>
      <c r="F70">
        <v>0</v>
      </c>
      <c r="G70">
        <v>0</v>
      </c>
      <c r="H70">
        <v>0</v>
      </c>
      <c r="I70">
        <v>0</v>
      </c>
      <c r="J70">
        <v>0</v>
      </c>
      <c r="K70" t="s">
        <v>109</v>
      </c>
      <c r="L70">
        <v>0</v>
      </c>
      <c r="M70">
        <v>0</v>
      </c>
      <c r="N70">
        <v>0</v>
      </c>
      <c r="O70">
        <v>0</v>
      </c>
    </row>
    <row r="71" spans="1:15" x14ac:dyDescent="0.35">
      <c r="A71" t="s">
        <v>108</v>
      </c>
      <c r="B71" t="s">
        <v>54</v>
      </c>
      <c r="C71" t="s">
        <v>142</v>
      </c>
      <c r="D71">
        <v>100472</v>
      </c>
      <c r="E71" t="s">
        <v>152</v>
      </c>
      <c r="F71">
        <v>0</v>
      </c>
      <c r="G71">
        <v>0</v>
      </c>
      <c r="H71">
        <v>0</v>
      </c>
      <c r="I71">
        <v>0</v>
      </c>
      <c r="J71">
        <v>0</v>
      </c>
      <c r="K71" t="s">
        <v>109</v>
      </c>
      <c r="L71">
        <v>0</v>
      </c>
      <c r="M71">
        <v>0</v>
      </c>
      <c r="N71">
        <v>0</v>
      </c>
      <c r="O71">
        <v>0</v>
      </c>
    </row>
    <row r="72" spans="1:15" x14ac:dyDescent="0.35">
      <c r="A72" t="s">
        <v>108</v>
      </c>
      <c r="B72" t="s">
        <v>54</v>
      </c>
      <c r="C72" t="s">
        <v>142</v>
      </c>
      <c r="D72">
        <v>100472</v>
      </c>
      <c r="E72" t="s">
        <v>153</v>
      </c>
      <c r="F72">
        <v>0</v>
      </c>
      <c r="G72">
        <v>0</v>
      </c>
      <c r="H72">
        <v>0</v>
      </c>
      <c r="I72">
        <v>0</v>
      </c>
      <c r="J72">
        <v>0</v>
      </c>
      <c r="K72" t="s">
        <v>109</v>
      </c>
      <c r="L72">
        <v>0</v>
      </c>
      <c r="M72">
        <v>0</v>
      </c>
      <c r="N72">
        <v>0</v>
      </c>
      <c r="O72">
        <v>0</v>
      </c>
    </row>
    <row r="73" spans="1:15" x14ac:dyDescent="0.35">
      <c r="A73" t="s">
        <v>108</v>
      </c>
      <c r="B73" t="s">
        <v>54</v>
      </c>
      <c r="C73" t="s">
        <v>142</v>
      </c>
      <c r="D73">
        <v>100472</v>
      </c>
      <c r="E73" t="s">
        <v>154</v>
      </c>
      <c r="F73">
        <v>0</v>
      </c>
      <c r="G73">
        <v>0</v>
      </c>
      <c r="H73">
        <v>0</v>
      </c>
      <c r="I73">
        <v>0</v>
      </c>
      <c r="J73">
        <v>0</v>
      </c>
      <c r="K73" t="s">
        <v>109</v>
      </c>
      <c r="L73">
        <v>0</v>
      </c>
      <c r="M73">
        <v>0</v>
      </c>
      <c r="N73">
        <v>0</v>
      </c>
      <c r="O73">
        <v>0</v>
      </c>
    </row>
    <row r="74" spans="1:15" x14ac:dyDescent="0.35">
      <c r="A74" t="s">
        <v>108</v>
      </c>
      <c r="B74" t="s">
        <v>54</v>
      </c>
      <c r="C74" t="s">
        <v>142</v>
      </c>
      <c r="D74">
        <v>100472</v>
      </c>
      <c r="E74" t="s">
        <v>155</v>
      </c>
      <c r="F74">
        <v>0</v>
      </c>
      <c r="G74">
        <v>0</v>
      </c>
      <c r="H74">
        <v>0</v>
      </c>
      <c r="I74">
        <v>0</v>
      </c>
      <c r="J74">
        <v>0</v>
      </c>
      <c r="K74" t="s">
        <v>109</v>
      </c>
      <c r="L74">
        <v>0</v>
      </c>
      <c r="M74">
        <v>0</v>
      </c>
      <c r="N74">
        <v>0</v>
      </c>
      <c r="O74">
        <v>0</v>
      </c>
    </row>
    <row r="75" spans="1:15" x14ac:dyDescent="0.35">
      <c r="A75" t="s">
        <v>108</v>
      </c>
      <c r="B75" t="s">
        <v>54</v>
      </c>
      <c r="C75" t="s">
        <v>142</v>
      </c>
      <c r="D75">
        <v>100472</v>
      </c>
      <c r="E75" t="s">
        <v>156</v>
      </c>
      <c r="F75">
        <v>0</v>
      </c>
      <c r="G75">
        <v>0</v>
      </c>
      <c r="H75">
        <v>0</v>
      </c>
      <c r="I75">
        <v>0</v>
      </c>
      <c r="J75">
        <v>0</v>
      </c>
      <c r="K75" t="s">
        <v>109</v>
      </c>
      <c r="L75">
        <v>0</v>
      </c>
      <c r="M75">
        <v>0</v>
      </c>
      <c r="N75">
        <v>0</v>
      </c>
      <c r="O75">
        <v>0</v>
      </c>
    </row>
    <row r="76" spans="1:15" x14ac:dyDescent="0.35">
      <c r="A76" t="s">
        <v>108</v>
      </c>
      <c r="B76" t="s">
        <v>54</v>
      </c>
      <c r="C76" t="s">
        <v>142</v>
      </c>
      <c r="D76">
        <v>100472</v>
      </c>
      <c r="E76" t="s">
        <v>157</v>
      </c>
      <c r="F76">
        <v>0</v>
      </c>
      <c r="G76">
        <v>0</v>
      </c>
      <c r="H76">
        <v>0</v>
      </c>
      <c r="I76">
        <v>0</v>
      </c>
      <c r="J76">
        <v>0</v>
      </c>
      <c r="K76" t="s">
        <v>109</v>
      </c>
      <c r="L76">
        <v>0</v>
      </c>
      <c r="M76">
        <v>0</v>
      </c>
      <c r="N76">
        <v>0</v>
      </c>
      <c r="O76">
        <v>0</v>
      </c>
    </row>
    <row r="77" spans="1:15" x14ac:dyDescent="0.35">
      <c r="A77" t="s">
        <v>108</v>
      </c>
      <c r="B77" t="s">
        <v>54</v>
      </c>
      <c r="C77" t="s">
        <v>142</v>
      </c>
      <c r="D77">
        <v>100472</v>
      </c>
      <c r="E77" t="s">
        <v>158</v>
      </c>
      <c r="F77">
        <v>0</v>
      </c>
      <c r="G77">
        <v>0</v>
      </c>
      <c r="H77">
        <v>0</v>
      </c>
      <c r="I77">
        <v>0</v>
      </c>
      <c r="J77">
        <v>0</v>
      </c>
      <c r="K77" t="s">
        <v>109</v>
      </c>
      <c r="L77">
        <v>0</v>
      </c>
      <c r="M77">
        <v>0</v>
      </c>
      <c r="N77">
        <v>0</v>
      </c>
      <c r="O77">
        <v>0</v>
      </c>
    </row>
    <row r="78" spans="1:15" x14ac:dyDescent="0.35">
      <c r="A78" t="s">
        <v>108</v>
      </c>
      <c r="B78" t="s">
        <v>54</v>
      </c>
      <c r="C78" t="s">
        <v>142</v>
      </c>
      <c r="D78">
        <v>100472</v>
      </c>
      <c r="E78" t="s">
        <v>159</v>
      </c>
      <c r="F78">
        <v>0</v>
      </c>
      <c r="G78">
        <v>0</v>
      </c>
      <c r="H78">
        <v>0</v>
      </c>
      <c r="I78">
        <v>0</v>
      </c>
      <c r="J78">
        <v>0</v>
      </c>
      <c r="K78" t="s">
        <v>109</v>
      </c>
      <c r="L78">
        <v>0</v>
      </c>
      <c r="M78">
        <v>0</v>
      </c>
      <c r="N78">
        <v>0</v>
      </c>
      <c r="O78">
        <v>0</v>
      </c>
    </row>
    <row r="79" spans="1:15" x14ac:dyDescent="0.35">
      <c r="A79" t="s">
        <v>108</v>
      </c>
      <c r="B79" t="s">
        <v>54</v>
      </c>
      <c r="C79" t="s">
        <v>142</v>
      </c>
      <c r="D79">
        <v>100472</v>
      </c>
      <c r="E79" t="s">
        <v>160</v>
      </c>
      <c r="F79">
        <v>0</v>
      </c>
      <c r="G79">
        <v>0</v>
      </c>
      <c r="H79">
        <v>0</v>
      </c>
      <c r="I79">
        <v>0</v>
      </c>
      <c r="J79">
        <v>0</v>
      </c>
      <c r="K79" t="s">
        <v>109</v>
      </c>
      <c r="L79">
        <v>0</v>
      </c>
      <c r="M79">
        <v>0</v>
      </c>
      <c r="N79">
        <v>0</v>
      </c>
      <c r="O79">
        <v>0</v>
      </c>
    </row>
    <row r="80" spans="1:15" x14ac:dyDescent="0.35">
      <c r="A80" t="s">
        <v>108</v>
      </c>
      <c r="B80" t="s">
        <v>54</v>
      </c>
      <c r="C80" t="s">
        <v>142</v>
      </c>
      <c r="D80">
        <v>100472</v>
      </c>
      <c r="E80" t="s">
        <v>161</v>
      </c>
      <c r="F80">
        <v>0</v>
      </c>
      <c r="G80">
        <v>0</v>
      </c>
      <c r="H80">
        <v>0</v>
      </c>
      <c r="I80">
        <v>0</v>
      </c>
      <c r="J80">
        <v>0</v>
      </c>
      <c r="K80" t="s">
        <v>109</v>
      </c>
      <c r="L80">
        <v>0</v>
      </c>
      <c r="M80">
        <v>0</v>
      </c>
      <c r="N80">
        <v>0</v>
      </c>
      <c r="O80">
        <v>0</v>
      </c>
    </row>
    <row r="81" spans="1:15" x14ac:dyDescent="0.35">
      <c r="A81" t="s">
        <v>108</v>
      </c>
      <c r="B81" t="s">
        <v>54</v>
      </c>
      <c r="C81" t="s">
        <v>142</v>
      </c>
      <c r="D81">
        <v>100472</v>
      </c>
      <c r="E81" t="s">
        <v>162</v>
      </c>
      <c r="F81">
        <v>0</v>
      </c>
      <c r="G81">
        <v>0</v>
      </c>
      <c r="H81">
        <v>0</v>
      </c>
      <c r="I81">
        <v>0</v>
      </c>
      <c r="J81">
        <v>0</v>
      </c>
      <c r="K81" t="s">
        <v>109</v>
      </c>
      <c r="L81">
        <v>0</v>
      </c>
      <c r="M81">
        <v>0</v>
      </c>
      <c r="N81">
        <v>0</v>
      </c>
      <c r="O81">
        <v>0</v>
      </c>
    </row>
    <row r="82" spans="1:15" x14ac:dyDescent="0.35">
      <c r="A82" t="s">
        <v>108</v>
      </c>
      <c r="B82" t="s">
        <v>54</v>
      </c>
      <c r="C82" t="s">
        <v>142</v>
      </c>
      <c r="D82">
        <v>100472</v>
      </c>
      <c r="E82" t="s">
        <v>163</v>
      </c>
      <c r="F82">
        <v>0</v>
      </c>
      <c r="G82">
        <v>0</v>
      </c>
      <c r="H82">
        <v>0</v>
      </c>
      <c r="I82">
        <v>0</v>
      </c>
      <c r="J82">
        <v>0</v>
      </c>
      <c r="K82" t="s">
        <v>109</v>
      </c>
      <c r="L82">
        <v>0</v>
      </c>
      <c r="M82">
        <v>0</v>
      </c>
      <c r="N82">
        <v>0</v>
      </c>
      <c r="O82">
        <v>0</v>
      </c>
    </row>
    <row r="83" spans="1:15" x14ac:dyDescent="0.35">
      <c r="A83" t="s">
        <v>108</v>
      </c>
      <c r="B83" t="s">
        <v>54</v>
      </c>
      <c r="C83" t="s">
        <v>142</v>
      </c>
      <c r="D83">
        <v>100472</v>
      </c>
      <c r="E83" t="s">
        <v>164</v>
      </c>
      <c r="F83">
        <v>0</v>
      </c>
      <c r="G83">
        <v>0</v>
      </c>
      <c r="H83">
        <v>0</v>
      </c>
      <c r="I83">
        <v>0</v>
      </c>
      <c r="J83">
        <v>0</v>
      </c>
      <c r="K83" t="s">
        <v>109</v>
      </c>
      <c r="L83">
        <v>0</v>
      </c>
      <c r="M83">
        <v>0</v>
      </c>
      <c r="N83">
        <v>0</v>
      </c>
      <c r="O83">
        <v>0</v>
      </c>
    </row>
    <row r="84" spans="1:15" x14ac:dyDescent="0.35">
      <c r="A84" t="s">
        <v>108</v>
      </c>
      <c r="B84" t="s">
        <v>54</v>
      </c>
      <c r="C84" t="s">
        <v>142</v>
      </c>
      <c r="D84">
        <v>100472</v>
      </c>
      <c r="E84" t="s">
        <v>165</v>
      </c>
      <c r="F84">
        <v>0</v>
      </c>
      <c r="G84">
        <v>0</v>
      </c>
      <c r="H84">
        <v>0</v>
      </c>
      <c r="I84">
        <v>0</v>
      </c>
      <c r="J84">
        <v>0</v>
      </c>
      <c r="K84" t="s">
        <v>109</v>
      </c>
      <c r="L84">
        <v>0</v>
      </c>
      <c r="M84">
        <v>0</v>
      </c>
      <c r="N84">
        <v>0</v>
      </c>
      <c r="O84">
        <v>0</v>
      </c>
    </row>
    <row r="85" spans="1:15" x14ac:dyDescent="0.35">
      <c r="A85" t="s">
        <v>108</v>
      </c>
      <c r="B85" t="s">
        <v>54</v>
      </c>
      <c r="C85" t="s">
        <v>142</v>
      </c>
      <c r="D85">
        <v>100472</v>
      </c>
      <c r="E85" t="s">
        <v>166</v>
      </c>
      <c r="F85">
        <v>0</v>
      </c>
      <c r="G85">
        <v>0</v>
      </c>
      <c r="H85">
        <v>0</v>
      </c>
      <c r="I85">
        <v>0</v>
      </c>
      <c r="J85">
        <v>0</v>
      </c>
      <c r="K85" t="s">
        <v>109</v>
      </c>
      <c r="L85">
        <v>0</v>
      </c>
      <c r="M85">
        <v>0</v>
      </c>
      <c r="N85">
        <v>0</v>
      </c>
      <c r="O85">
        <v>0</v>
      </c>
    </row>
    <row r="86" spans="1:15" x14ac:dyDescent="0.35">
      <c r="A86" t="s">
        <v>108</v>
      </c>
      <c r="B86" t="s">
        <v>54</v>
      </c>
      <c r="C86" t="s">
        <v>142</v>
      </c>
      <c r="D86">
        <v>100472</v>
      </c>
      <c r="E86" t="s">
        <v>167</v>
      </c>
      <c r="F86">
        <v>0</v>
      </c>
      <c r="G86">
        <v>0</v>
      </c>
      <c r="H86">
        <v>0</v>
      </c>
      <c r="I86">
        <v>0</v>
      </c>
      <c r="J86">
        <v>0</v>
      </c>
      <c r="K86" t="s">
        <v>109</v>
      </c>
      <c r="L86">
        <v>0</v>
      </c>
      <c r="M86">
        <v>0</v>
      </c>
      <c r="N86">
        <v>0</v>
      </c>
      <c r="O86">
        <v>0</v>
      </c>
    </row>
    <row r="87" spans="1:15" x14ac:dyDescent="0.35">
      <c r="A87" t="s">
        <v>108</v>
      </c>
      <c r="B87" t="s">
        <v>54</v>
      </c>
      <c r="C87" t="s">
        <v>142</v>
      </c>
      <c r="D87">
        <v>100472</v>
      </c>
      <c r="E87" t="s">
        <v>168</v>
      </c>
      <c r="F87">
        <v>0</v>
      </c>
      <c r="G87">
        <v>0</v>
      </c>
      <c r="H87">
        <v>0</v>
      </c>
      <c r="I87">
        <v>0</v>
      </c>
      <c r="J87">
        <v>0</v>
      </c>
      <c r="K87" t="s">
        <v>109</v>
      </c>
      <c r="L87">
        <v>0</v>
      </c>
      <c r="M87">
        <v>0</v>
      </c>
      <c r="N87">
        <v>0</v>
      </c>
      <c r="O87">
        <v>0</v>
      </c>
    </row>
    <row r="88" spans="1:15" x14ac:dyDescent="0.35">
      <c r="A88" t="s">
        <v>108</v>
      </c>
      <c r="B88" t="s">
        <v>54</v>
      </c>
      <c r="C88" t="s">
        <v>142</v>
      </c>
      <c r="D88">
        <v>100472</v>
      </c>
      <c r="E88" t="s">
        <v>169</v>
      </c>
      <c r="F88">
        <v>0</v>
      </c>
      <c r="G88">
        <v>0</v>
      </c>
      <c r="H88">
        <v>0</v>
      </c>
      <c r="I88">
        <v>0</v>
      </c>
      <c r="J88">
        <v>0</v>
      </c>
      <c r="K88" t="s">
        <v>109</v>
      </c>
      <c r="L88">
        <v>0</v>
      </c>
      <c r="M88">
        <v>0</v>
      </c>
      <c r="N88">
        <v>0</v>
      </c>
      <c r="O88">
        <v>0</v>
      </c>
    </row>
    <row r="89" spans="1:15" x14ac:dyDescent="0.35">
      <c r="A89" t="s">
        <v>108</v>
      </c>
      <c r="B89" t="s">
        <v>54</v>
      </c>
      <c r="C89" t="s">
        <v>142</v>
      </c>
      <c r="D89">
        <v>100472</v>
      </c>
      <c r="E89" t="s">
        <v>170</v>
      </c>
      <c r="F89">
        <v>0</v>
      </c>
      <c r="G89">
        <v>0</v>
      </c>
      <c r="H89">
        <v>0</v>
      </c>
      <c r="I89">
        <v>0</v>
      </c>
      <c r="J89">
        <v>0</v>
      </c>
      <c r="K89" t="s">
        <v>109</v>
      </c>
      <c r="L89">
        <v>0</v>
      </c>
      <c r="M89">
        <v>0</v>
      </c>
      <c r="N89">
        <v>0</v>
      </c>
      <c r="O89">
        <v>0</v>
      </c>
    </row>
    <row r="90" spans="1:15" x14ac:dyDescent="0.35">
      <c r="A90" t="s">
        <v>108</v>
      </c>
      <c r="B90" t="s">
        <v>54</v>
      </c>
      <c r="C90" t="s">
        <v>142</v>
      </c>
      <c r="D90">
        <v>100472</v>
      </c>
      <c r="E90" t="s">
        <v>171</v>
      </c>
      <c r="F90">
        <v>0</v>
      </c>
      <c r="G90">
        <v>0</v>
      </c>
      <c r="H90">
        <v>0</v>
      </c>
      <c r="I90">
        <v>0</v>
      </c>
      <c r="J90">
        <v>0</v>
      </c>
      <c r="K90" t="s">
        <v>109</v>
      </c>
      <c r="L90">
        <v>0</v>
      </c>
      <c r="M90">
        <v>0</v>
      </c>
      <c r="N90">
        <v>0</v>
      </c>
      <c r="O90">
        <v>0</v>
      </c>
    </row>
    <row r="91" spans="1:15" x14ac:dyDescent="0.35">
      <c r="A91" t="s">
        <v>108</v>
      </c>
      <c r="B91" t="s">
        <v>54</v>
      </c>
      <c r="C91" t="s">
        <v>142</v>
      </c>
      <c r="D91">
        <v>100472</v>
      </c>
      <c r="E91" t="s">
        <v>172</v>
      </c>
      <c r="F91">
        <v>0</v>
      </c>
      <c r="G91">
        <v>0</v>
      </c>
      <c r="H91">
        <v>0</v>
      </c>
      <c r="I91">
        <v>0</v>
      </c>
      <c r="J91">
        <v>0</v>
      </c>
      <c r="K91" t="s">
        <v>109</v>
      </c>
      <c r="L91">
        <v>0</v>
      </c>
      <c r="M91">
        <v>0</v>
      </c>
      <c r="N91">
        <v>0</v>
      </c>
      <c r="O91">
        <v>0</v>
      </c>
    </row>
    <row r="92" spans="1:15" x14ac:dyDescent="0.35">
      <c r="A92" t="s">
        <v>108</v>
      </c>
      <c r="B92" t="s">
        <v>54</v>
      </c>
      <c r="C92" t="s">
        <v>142</v>
      </c>
      <c r="D92">
        <v>100472</v>
      </c>
      <c r="E92" t="s">
        <v>173</v>
      </c>
      <c r="F92">
        <v>0</v>
      </c>
      <c r="G92">
        <v>0</v>
      </c>
      <c r="H92">
        <v>0</v>
      </c>
      <c r="I92">
        <v>0</v>
      </c>
      <c r="J92">
        <v>0</v>
      </c>
      <c r="K92" t="s">
        <v>109</v>
      </c>
      <c r="L92">
        <v>0</v>
      </c>
      <c r="M92">
        <v>0</v>
      </c>
      <c r="N92">
        <v>0</v>
      </c>
      <c r="O92">
        <v>0</v>
      </c>
    </row>
    <row r="93" spans="1:15" x14ac:dyDescent="0.35">
      <c r="A93" t="s">
        <v>108</v>
      </c>
      <c r="B93" t="s">
        <v>54</v>
      </c>
      <c r="C93" t="s">
        <v>142</v>
      </c>
      <c r="D93">
        <v>100472</v>
      </c>
      <c r="E93" t="s">
        <v>174</v>
      </c>
      <c r="F93">
        <v>0</v>
      </c>
      <c r="G93">
        <v>0</v>
      </c>
      <c r="H93">
        <v>0</v>
      </c>
      <c r="I93">
        <v>0</v>
      </c>
      <c r="J93">
        <v>0</v>
      </c>
      <c r="K93" t="s">
        <v>109</v>
      </c>
      <c r="L93">
        <v>0</v>
      </c>
      <c r="M93">
        <v>0</v>
      </c>
      <c r="N93">
        <v>0</v>
      </c>
      <c r="O93">
        <v>0</v>
      </c>
    </row>
    <row r="94" spans="1:15" x14ac:dyDescent="0.35">
      <c r="A94" t="s">
        <v>108</v>
      </c>
      <c r="B94" t="s">
        <v>54</v>
      </c>
      <c r="C94" t="s">
        <v>142</v>
      </c>
      <c r="D94">
        <v>100472</v>
      </c>
      <c r="E94" t="s">
        <v>175</v>
      </c>
      <c r="F94">
        <v>0</v>
      </c>
      <c r="G94">
        <v>0</v>
      </c>
      <c r="H94">
        <v>0</v>
      </c>
      <c r="I94">
        <v>0</v>
      </c>
      <c r="J94">
        <v>0</v>
      </c>
      <c r="K94" t="s">
        <v>109</v>
      </c>
      <c r="L94">
        <v>0</v>
      </c>
      <c r="M94">
        <v>0</v>
      </c>
      <c r="N94">
        <v>0</v>
      </c>
      <c r="O94">
        <v>0</v>
      </c>
    </row>
    <row r="95" spans="1:15" x14ac:dyDescent="0.35">
      <c r="A95" t="s">
        <v>108</v>
      </c>
      <c r="B95" t="s">
        <v>54</v>
      </c>
      <c r="C95" t="s">
        <v>142</v>
      </c>
      <c r="D95">
        <v>100472</v>
      </c>
      <c r="E95" t="s">
        <v>176</v>
      </c>
      <c r="F95">
        <v>0</v>
      </c>
      <c r="G95">
        <v>0</v>
      </c>
      <c r="H95">
        <v>0</v>
      </c>
      <c r="I95">
        <v>0</v>
      </c>
      <c r="J95">
        <v>0</v>
      </c>
      <c r="K95" t="s">
        <v>109</v>
      </c>
      <c r="L95">
        <v>0</v>
      </c>
      <c r="M95">
        <v>0</v>
      </c>
      <c r="N95">
        <v>0</v>
      </c>
      <c r="O95">
        <v>0</v>
      </c>
    </row>
    <row r="96" spans="1:15" x14ac:dyDescent="0.35">
      <c r="A96" t="s">
        <v>108</v>
      </c>
      <c r="B96" t="s">
        <v>54</v>
      </c>
      <c r="C96" t="s">
        <v>142</v>
      </c>
      <c r="D96">
        <v>100472</v>
      </c>
      <c r="E96" t="s">
        <v>177</v>
      </c>
      <c r="F96">
        <v>0</v>
      </c>
      <c r="G96">
        <v>0</v>
      </c>
      <c r="H96">
        <v>0</v>
      </c>
      <c r="I96">
        <v>0</v>
      </c>
      <c r="J96">
        <v>0</v>
      </c>
      <c r="K96" t="s">
        <v>109</v>
      </c>
      <c r="L96">
        <v>0</v>
      </c>
      <c r="M96">
        <v>0</v>
      </c>
      <c r="N96">
        <v>0</v>
      </c>
      <c r="O96">
        <v>0</v>
      </c>
    </row>
    <row r="97" spans="1:15" x14ac:dyDescent="0.35">
      <c r="A97" t="s">
        <v>108</v>
      </c>
      <c r="B97" t="s">
        <v>54</v>
      </c>
      <c r="C97" t="s">
        <v>142</v>
      </c>
      <c r="D97">
        <v>100472</v>
      </c>
      <c r="E97" t="s">
        <v>178</v>
      </c>
      <c r="F97">
        <v>0</v>
      </c>
      <c r="G97">
        <v>0</v>
      </c>
      <c r="H97">
        <v>0</v>
      </c>
      <c r="I97">
        <v>0</v>
      </c>
      <c r="J97">
        <v>0</v>
      </c>
      <c r="K97" t="s">
        <v>109</v>
      </c>
      <c r="L97">
        <v>0</v>
      </c>
      <c r="M97">
        <v>0</v>
      </c>
      <c r="N97">
        <v>0</v>
      </c>
      <c r="O97">
        <v>0</v>
      </c>
    </row>
    <row r="98" spans="1:15" x14ac:dyDescent="0.35">
      <c r="A98" t="s">
        <v>108</v>
      </c>
      <c r="B98" t="s">
        <v>54</v>
      </c>
      <c r="C98" t="s">
        <v>142</v>
      </c>
      <c r="D98">
        <v>100472</v>
      </c>
      <c r="E98" t="s">
        <v>179</v>
      </c>
      <c r="F98">
        <v>0</v>
      </c>
      <c r="G98">
        <v>0</v>
      </c>
      <c r="H98">
        <v>0</v>
      </c>
      <c r="I98">
        <v>0</v>
      </c>
      <c r="J98">
        <v>0</v>
      </c>
      <c r="K98" t="s">
        <v>109</v>
      </c>
      <c r="L98">
        <v>0</v>
      </c>
      <c r="M98">
        <v>0</v>
      </c>
      <c r="N98">
        <v>0</v>
      </c>
      <c r="O98">
        <v>0</v>
      </c>
    </row>
    <row r="99" spans="1:15" x14ac:dyDescent="0.35">
      <c r="A99" t="s">
        <v>108</v>
      </c>
      <c r="B99" t="s">
        <v>54</v>
      </c>
      <c r="C99" t="s">
        <v>142</v>
      </c>
      <c r="D99">
        <v>100472</v>
      </c>
      <c r="E99" t="s">
        <v>180</v>
      </c>
      <c r="F99">
        <v>0</v>
      </c>
      <c r="G99">
        <v>0</v>
      </c>
      <c r="H99">
        <v>0</v>
      </c>
      <c r="I99">
        <v>0</v>
      </c>
      <c r="J99">
        <v>0</v>
      </c>
      <c r="K99" t="s">
        <v>109</v>
      </c>
      <c r="L99">
        <v>0</v>
      </c>
      <c r="M99">
        <v>0</v>
      </c>
      <c r="N99">
        <v>0</v>
      </c>
      <c r="O99">
        <v>0</v>
      </c>
    </row>
    <row r="100" spans="1:15" x14ac:dyDescent="0.35">
      <c r="A100" t="s">
        <v>108</v>
      </c>
      <c r="B100" t="s">
        <v>54</v>
      </c>
      <c r="C100" t="s">
        <v>142</v>
      </c>
      <c r="D100">
        <v>100472</v>
      </c>
      <c r="E100" t="s">
        <v>181</v>
      </c>
      <c r="F100">
        <v>0</v>
      </c>
      <c r="G100">
        <v>0</v>
      </c>
      <c r="H100">
        <v>0</v>
      </c>
      <c r="I100">
        <v>0</v>
      </c>
      <c r="J100">
        <v>0</v>
      </c>
      <c r="K100" t="s">
        <v>109</v>
      </c>
      <c r="L100">
        <v>0</v>
      </c>
      <c r="M100">
        <v>0</v>
      </c>
      <c r="N100">
        <v>0</v>
      </c>
      <c r="O100">
        <v>0</v>
      </c>
    </row>
    <row r="101" spans="1:15" x14ac:dyDescent="0.35">
      <c r="A101" t="s">
        <v>108</v>
      </c>
      <c r="B101" t="s">
        <v>54</v>
      </c>
      <c r="C101" t="s">
        <v>142</v>
      </c>
      <c r="D101">
        <v>100472</v>
      </c>
      <c r="E101" t="s">
        <v>182</v>
      </c>
      <c r="F101">
        <v>0</v>
      </c>
      <c r="G101">
        <v>0</v>
      </c>
      <c r="H101">
        <v>0</v>
      </c>
      <c r="I101">
        <v>0</v>
      </c>
      <c r="J101">
        <v>0</v>
      </c>
      <c r="K101" t="s">
        <v>109</v>
      </c>
      <c r="L101">
        <v>0</v>
      </c>
      <c r="M101">
        <v>0</v>
      </c>
      <c r="N101">
        <v>0</v>
      </c>
      <c r="O101">
        <v>0</v>
      </c>
    </row>
    <row r="102" spans="1:15" x14ac:dyDescent="0.35">
      <c r="A102" t="s">
        <v>108</v>
      </c>
      <c r="B102" t="s">
        <v>54</v>
      </c>
      <c r="C102" t="s">
        <v>142</v>
      </c>
      <c r="D102">
        <v>100472</v>
      </c>
      <c r="E102" t="s">
        <v>183</v>
      </c>
      <c r="F102">
        <v>0</v>
      </c>
      <c r="G102">
        <v>0</v>
      </c>
      <c r="H102">
        <v>0</v>
      </c>
      <c r="I102">
        <v>0</v>
      </c>
      <c r="J102">
        <v>0</v>
      </c>
      <c r="K102" t="s">
        <v>109</v>
      </c>
      <c r="L102">
        <v>0</v>
      </c>
      <c r="M102">
        <v>0</v>
      </c>
      <c r="N102">
        <v>0</v>
      </c>
      <c r="O102">
        <v>0</v>
      </c>
    </row>
    <row r="103" spans="1:15" x14ac:dyDescent="0.35">
      <c r="A103" t="s">
        <v>108</v>
      </c>
      <c r="B103" t="s">
        <v>54</v>
      </c>
      <c r="C103" t="s">
        <v>142</v>
      </c>
      <c r="D103">
        <v>100472</v>
      </c>
      <c r="E103" t="s">
        <v>184</v>
      </c>
      <c r="F103">
        <v>0</v>
      </c>
      <c r="G103">
        <v>0</v>
      </c>
      <c r="H103">
        <v>0</v>
      </c>
      <c r="I103">
        <v>0</v>
      </c>
      <c r="J103">
        <v>0</v>
      </c>
      <c r="K103" t="s">
        <v>109</v>
      </c>
      <c r="L103">
        <v>0</v>
      </c>
      <c r="M103">
        <v>0</v>
      </c>
      <c r="N103">
        <v>0</v>
      </c>
      <c r="O103">
        <v>0</v>
      </c>
    </row>
    <row r="104" spans="1:15" x14ac:dyDescent="0.35">
      <c r="A104" t="s">
        <v>108</v>
      </c>
      <c r="B104" t="s">
        <v>54</v>
      </c>
      <c r="C104" t="s">
        <v>142</v>
      </c>
      <c r="D104">
        <v>100472</v>
      </c>
      <c r="E104" t="s">
        <v>185</v>
      </c>
      <c r="F104">
        <v>0</v>
      </c>
      <c r="G104">
        <v>0</v>
      </c>
      <c r="H104">
        <v>0</v>
      </c>
      <c r="I104">
        <v>0</v>
      </c>
      <c r="J104">
        <v>0</v>
      </c>
      <c r="K104" t="s">
        <v>109</v>
      </c>
      <c r="L104">
        <v>0</v>
      </c>
      <c r="M104">
        <v>0</v>
      </c>
      <c r="N104">
        <v>0</v>
      </c>
      <c r="O104">
        <v>0</v>
      </c>
    </row>
    <row r="105" spans="1:15" x14ac:dyDescent="0.35">
      <c r="A105" t="s">
        <v>108</v>
      </c>
      <c r="B105" t="s">
        <v>54</v>
      </c>
      <c r="C105" t="s">
        <v>142</v>
      </c>
      <c r="D105">
        <v>100472</v>
      </c>
      <c r="E105" t="s">
        <v>186</v>
      </c>
      <c r="F105">
        <v>0</v>
      </c>
      <c r="G105">
        <v>0</v>
      </c>
      <c r="H105">
        <v>0</v>
      </c>
      <c r="I105">
        <v>0</v>
      </c>
      <c r="J105">
        <v>0</v>
      </c>
      <c r="K105" t="s">
        <v>109</v>
      </c>
      <c r="L105">
        <v>0</v>
      </c>
      <c r="M105">
        <v>0</v>
      </c>
      <c r="N105">
        <v>0</v>
      </c>
      <c r="O105">
        <v>0</v>
      </c>
    </row>
    <row r="106" spans="1:15" x14ac:dyDescent="0.35">
      <c r="A106" t="s">
        <v>108</v>
      </c>
      <c r="B106" t="s">
        <v>54</v>
      </c>
      <c r="C106" t="s">
        <v>142</v>
      </c>
      <c r="D106">
        <v>100472</v>
      </c>
      <c r="E106" t="s">
        <v>187</v>
      </c>
      <c r="F106">
        <v>0</v>
      </c>
      <c r="G106">
        <v>0</v>
      </c>
      <c r="H106">
        <v>0</v>
      </c>
      <c r="I106">
        <v>0</v>
      </c>
      <c r="J106">
        <v>0</v>
      </c>
      <c r="K106" t="s">
        <v>109</v>
      </c>
      <c r="L106">
        <v>0</v>
      </c>
      <c r="M106">
        <v>0</v>
      </c>
      <c r="N106">
        <v>0</v>
      </c>
      <c r="O106">
        <v>0</v>
      </c>
    </row>
    <row r="107" spans="1:15" x14ac:dyDescent="0.35">
      <c r="A107" t="s">
        <v>108</v>
      </c>
      <c r="B107" t="s">
        <v>54</v>
      </c>
      <c r="C107" t="s">
        <v>142</v>
      </c>
      <c r="D107">
        <v>100472</v>
      </c>
      <c r="E107" t="s">
        <v>188</v>
      </c>
      <c r="F107">
        <v>0</v>
      </c>
      <c r="G107">
        <v>0</v>
      </c>
      <c r="H107">
        <v>0</v>
      </c>
      <c r="I107">
        <v>0</v>
      </c>
      <c r="J107">
        <v>0</v>
      </c>
      <c r="K107" t="s">
        <v>109</v>
      </c>
      <c r="L107">
        <v>0</v>
      </c>
      <c r="M107">
        <v>0</v>
      </c>
      <c r="N107">
        <v>0</v>
      </c>
      <c r="O107">
        <v>0</v>
      </c>
    </row>
    <row r="108" spans="1:15" x14ac:dyDescent="0.35">
      <c r="A108" t="s">
        <v>108</v>
      </c>
      <c r="B108" t="s">
        <v>54</v>
      </c>
      <c r="C108" t="s">
        <v>142</v>
      </c>
      <c r="D108">
        <v>100472</v>
      </c>
      <c r="E108" t="s">
        <v>189</v>
      </c>
      <c r="F108">
        <v>0</v>
      </c>
      <c r="G108">
        <v>0</v>
      </c>
      <c r="H108">
        <v>0</v>
      </c>
      <c r="I108">
        <v>0</v>
      </c>
      <c r="J108">
        <v>0</v>
      </c>
      <c r="K108" t="s">
        <v>109</v>
      </c>
      <c r="L108">
        <v>0</v>
      </c>
      <c r="M108">
        <v>0</v>
      </c>
      <c r="N108">
        <v>0</v>
      </c>
      <c r="O108">
        <v>0</v>
      </c>
    </row>
    <row r="109" spans="1:15" x14ac:dyDescent="0.35">
      <c r="A109" t="s">
        <v>108</v>
      </c>
      <c r="B109" t="s">
        <v>54</v>
      </c>
      <c r="C109" t="s">
        <v>142</v>
      </c>
      <c r="D109">
        <v>100472</v>
      </c>
      <c r="E109" t="s">
        <v>190</v>
      </c>
      <c r="F109">
        <v>0</v>
      </c>
      <c r="G109">
        <v>0</v>
      </c>
      <c r="H109">
        <v>0</v>
      </c>
      <c r="I109">
        <v>0</v>
      </c>
      <c r="J109">
        <v>0</v>
      </c>
      <c r="K109" t="s">
        <v>109</v>
      </c>
      <c r="L109">
        <v>0</v>
      </c>
      <c r="M109">
        <v>0</v>
      </c>
      <c r="N109">
        <v>0</v>
      </c>
      <c r="O109">
        <v>0</v>
      </c>
    </row>
    <row r="110" spans="1:15" x14ac:dyDescent="0.35">
      <c r="A110" t="s">
        <v>108</v>
      </c>
      <c r="B110" t="s">
        <v>54</v>
      </c>
      <c r="C110" t="s">
        <v>142</v>
      </c>
      <c r="D110">
        <v>100472</v>
      </c>
      <c r="E110" t="s">
        <v>191</v>
      </c>
      <c r="F110">
        <v>0</v>
      </c>
      <c r="G110">
        <v>0</v>
      </c>
      <c r="H110">
        <v>0</v>
      </c>
      <c r="I110">
        <v>0</v>
      </c>
      <c r="J110">
        <v>0</v>
      </c>
      <c r="K110" t="s">
        <v>109</v>
      </c>
      <c r="L110">
        <v>0</v>
      </c>
      <c r="M110">
        <v>0</v>
      </c>
      <c r="N110">
        <v>0</v>
      </c>
      <c r="O110">
        <v>0</v>
      </c>
    </row>
    <row r="111" spans="1:15" x14ac:dyDescent="0.35">
      <c r="A111" t="s">
        <v>108</v>
      </c>
      <c r="B111" t="s">
        <v>54</v>
      </c>
      <c r="C111" t="s">
        <v>142</v>
      </c>
      <c r="D111">
        <v>100472</v>
      </c>
      <c r="E111" t="s">
        <v>192</v>
      </c>
      <c r="F111">
        <v>0</v>
      </c>
      <c r="G111">
        <v>0</v>
      </c>
      <c r="H111">
        <v>0</v>
      </c>
      <c r="I111">
        <v>0</v>
      </c>
      <c r="J111">
        <v>0</v>
      </c>
      <c r="K111" t="s">
        <v>109</v>
      </c>
      <c r="L111">
        <v>0</v>
      </c>
      <c r="M111">
        <v>0</v>
      </c>
      <c r="N111">
        <v>0</v>
      </c>
      <c r="O111">
        <v>0</v>
      </c>
    </row>
    <row r="112" spans="1:15" x14ac:dyDescent="0.35">
      <c r="A112" t="s">
        <v>108</v>
      </c>
      <c r="B112" t="s">
        <v>54</v>
      </c>
      <c r="C112" t="s">
        <v>142</v>
      </c>
      <c r="D112">
        <v>100472</v>
      </c>
      <c r="E112" t="s">
        <v>193</v>
      </c>
      <c r="F112">
        <v>0</v>
      </c>
      <c r="G112">
        <v>0</v>
      </c>
      <c r="H112">
        <v>0</v>
      </c>
      <c r="I112">
        <v>0</v>
      </c>
      <c r="J112">
        <v>0</v>
      </c>
      <c r="K112" t="s">
        <v>109</v>
      </c>
      <c r="L112">
        <v>0</v>
      </c>
      <c r="M112">
        <v>0</v>
      </c>
      <c r="N112">
        <v>0</v>
      </c>
      <c r="O112">
        <v>0</v>
      </c>
    </row>
    <row r="113" spans="1:15" x14ac:dyDescent="0.35">
      <c r="A113" t="s">
        <v>108</v>
      </c>
      <c r="B113" t="s">
        <v>54</v>
      </c>
      <c r="C113" t="s">
        <v>142</v>
      </c>
      <c r="D113">
        <v>100472</v>
      </c>
      <c r="E113" t="s">
        <v>194</v>
      </c>
      <c r="F113">
        <v>0</v>
      </c>
      <c r="G113">
        <v>0</v>
      </c>
      <c r="H113">
        <v>0</v>
      </c>
      <c r="I113">
        <v>0</v>
      </c>
      <c r="J113">
        <v>0</v>
      </c>
      <c r="K113" t="s">
        <v>109</v>
      </c>
      <c r="L113">
        <v>0</v>
      </c>
      <c r="M113">
        <v>0</v>
      </c>
      <c r="N113">
        <v>0</v>
      </c>
      <c r="O113">
        <v>0</v>
      </c>
    </row>
    <row r="114" spans="1:15" x14ac:dyDescent="0.35">
      <c r="A114" t="s">
        <v>108</v>
      </c>
      <c r="B114" t="s">
        <v>54</v>
      </c>
      <c r="C114" t="s">
        <v>142</v>
      </c>
      <c r="D114">
        <v>100472</v>
      </c>
      <c r="E114" t="s">
        <v>195</v>
      </c>
      <c r="F114">
        <v>0</v>
      </c>
      <c r="G114">
        <v>0</v>
      </c>
      <c r="H114">
        <v>0</v>
      </c>
      <c r="I114">
        <v>0</v>
      </c>
      <c r="J114">
        <v>0</v>
      </c>
      <c r="K114" t="s">
        <v>109</v>
      </c>
      <c r="L114">
        <v>0</v>
      </c>
      <c r="M114">
        <v>0</v>
      </c>
      <c r="N114">
        <v>0</v>
      </c>
      <c r="O114">
        <v>0</v>
      </c>
    </row>
    <row r="115" spans="1:15" x14ac:dyDescent="0.35">
      <c r="A115" t="s">
        <v>108</v>
      </c>
      <c r="B115" t="s">
        <v>54</v>
      </c>
      <c r="C115" t="s">
        <v>142</v>
      </c>
      <c r="D115">
        <v>100472</v>
      </c>
      <c r="E115" t="s">
        <v>196</v>
      </c>
      <c r="F115">
        <v>0</v>
      </c>
      <c r="G115">
        <v>0</v>
      </c>
      <c r="H115">
        <v>0</v>
      </c>
      <c r="I115">
        <v>0</v>
      </c>
      <c r="J115">
        <v>0</v>
      </c>
      <c r="K115" t="s">
        <v>109</v>
      </c>
      <c r="L115">
        <v>0</v>
      </c>
      <c r="M115">
        <v>0</v>
      </c>
      <c r="N115">
        <v>0</v>
      </c>
      <c r="O115">
        <v>0</v>
      </c>
    </row>
    <row r="116" spans="1:15" x14ac:dyDescent="0.35">
      <c r="A116" t="s">
        <v>108</v>
      </c>
      <c r="B116" t="s">
        <v>54</v>
      </c>
      <c r="C116" t="s">
        <v>142</v>
      </c>
      <c r="D116">
        <v>100472</v>
      </c>
      <c r="E116" t="s">
        <v>197</v>
      </c>
      <c r="F116">
        <v>0</v>
      </c>
      <c r="G116">
        <v>0</v>
      </c>
      <c r="H116">
        <v>0</v>
      </c>
      <c r="I116">
        <v>0</v>
      </c>
      <c r="J116">
        <v>0</v>
      </c>
      <c r="K116" t="s">
        <v>109</v>
      </c>
      <c r="L116">
        <v>0</v>
      </c>
      <c r="M116">
        <v>0</v>
      </c>
      <c r="N116">
        <v>0</v>
      </c>
      <c r="O116">
        <v>0</v>
      </c>
    </row>
    <row r="117" spans="1:15" x14ac:dyDescent="0.35">
      <c r="A117" t="s">
        <v>108</v>
      </c>
      <c r="B117" t="s">
        <v>54</v>
      </c>
      <c r="C117" t="s">
        <v>142</v>
      </c>
      <c r="D117">
        <v>100472</v>
      </c>
      <c r="E117" t="s">
        <v>198</v>
      </c>
      <c r="F117">
        <v>0</v>
      </c>
      <c r="G117">
        <v>0</v>
      </c>
      <c r="H117">
        <v>0</v>
      </c>
      <c r="I117">
        <v>0</v>
      </c>
      <c r="J117">
        <v>0</v>
      </c>
      <c r="K117" t="s">
        <v>109</v>
      </c>
      <c r="L117">
        <v>0</v>
      </c>
      <c r="M117">
        <v>0</v>
      </c>
      <c r="N117">
        <v>0</v>
      </c>
      <c r="O117">
        <v>0</v>
      </c>
    </row>
    <row r="118" spans="1:15" x14ac:dyDescent="0.35">
      <c r="A118" t="s">
        <v>108</v>
      </c>
      <c r="B118" t="s">
        <v>54</v>
      </c>
      <c r="C118" t="s">
        <v>142</v>
      </c>
      <c r="D118">
        <v>100472</v>
      </c>
      <c r="E118" t="s">
        <v>199</v>
      </c>
      <c r="F118">
        <v>0</v>
      </c>
      <c r="G118">
        <v>0</v>
      </c>
      <c r="H118">
        <v>0</v>
      </c>
      <c r="I118">
        <v>0</v>
      </c>
      <c r="J118">
        <v>0</v>
      </c>
      <c r="K118" t="s">
        <v>109</v>
      </c>
      <c r="L118">
        <v>0</v>
      </c>
      <c r="M118">
        <v>0</v>
      </c>
      <c r="N118">
        <v>0</v>
      </c>
      <c r="O118">
        <v>0</v>
      </c>
    </row>
    <row r="119" spans="1:15" x14ac:dyDescent="0.35">
      <c r="A119" t="s">
        <v>108</v>
      </c>
      <c r="B119" t="s">
        <v>54</v>
      </c>
      <c r="C119" t="s">
        <v>142</v>
      </c>
      <c r="D119">
        <v>100472</v>
      </c>
      <c r="E119" t="s">
        <v>200</v>
      </c>
      <c r="F119">
        <v>0</v>
      </c>
      <c r="G119">
        <v>0</v>
      </c>
      <c r="H119">
        <v>0</v>
      </c>
      <c r="I119">
        <v>0</v>
      </c>
      <c r="J119">
        <v>0</v>
      </c>
      <c r="K119" t="s">
        <v>109</v>
      </c>
      <c r="L119">
        <v>0</v>
      </c>
      <c r="M119">
        <v>0</v>
      </c>
      <c r="N119">
        <v>0</v>
      </c>
      <c r="O119">
        <v>0</v>
      </c>
    </row>
    <row r="120" spans="1:15" x14ac:dyDescent="0.35">
      <c r="A120" t="s">
        <v>108</v>
      </c>
      <c r="B120" t="s">
        <v>54</v>
      </c>
      <c r="C120" t="s">
        <v>142</v>
      </c>
      <c r="D120">
        <v>100472</v>
      </c>
      <c r="E120" t="s">
        <v>201</v>
      </c>
      <c r="F120">
        <v>0</v>
      </c>
      <c r="G120">
        <v>0</v>
      </c>
      <c r="H120">
        <v>0</v>
      </c>
      <c r="I120">
        <v>0</v>
      </c>
      <c r="J120">
        <v>0</v>
      </c>
      <c r="K120" t="s">
        <v>109</v>
      </c>
      <c r="L120">
        <v>0</v>
      </c>
      <c r="M120">
        <v>0</v>
      </c>
      <c r="N120">
        <v>0</v>
      </c>
      <c r="O120">
        <v>0</v>
      </c>
    </row>
    <row r="121" spans="1:15" x14ac:dyDescent="0.35">
      <c r="A121" t="s">
        <v>108</v>
      </c>
      <c r="B121" t="s">
        <v>54</v>
      </c>
      <c r="C121" t="s">
        <v>142</v>
      </c>
      <c r="D121">
        <v>100472</v>
      </c>
      <c r="E121" t="s">
        <v>202</v>
      </c>
      <c r="F121">
        <v>0</v>
      </c>
      <c r="G121">
        <v>0</v>
      </c>
      <c r="H121">
        <v>0</v>
      </c>
      <c r="I121">
        <v>0</v>
      </c>
      <c r="J121">
        <v>0</v>
      </c>
      <c r="K121" t="s">
        <v>109</v>
      </c>
      <c r="L121">
        <v>0</v>
      </c>
      <c r="M121">
        <v>0</v>
      </c>
      <c r="N121">
        <v>0</v>
      </c>
      <c r="O121">
        <v>0</v>
      </c>
    </row>
    <row r="122" spans="1:15" x14ac:dyDescent="0.35">
      <c r="A122" t="s">
        <v>108</v>
      </c>
      <c r="B122" t="s">
        <v>54</v>
      </c>
      <c r="C122" t="s">
        <v>142</v>
      </c>
      <c r="D122">
        <v>100472</v>
      </c>
      <c r="E122" t="s">
        <v>203</v>
      </c>
      <c r="F122">
        <v>0</v>
      </c>
      <c r="G122">
        <v>0</v>
      </c>
      <c r="H122">
        <v>0</v>
      </c>
      <c r="I122">
        <v>0</v>
      </c>
      <c r="J122">
        <v>0</v>
      </c>
      <c r="K122" t="s">
        <v>109</v>
      </c>
      <c r="L122">
        <v>0</v>
      </c>
      <c r="M122">
        <v>0</v>
      </c>
      <c r="N122">
        <v>0</v>
      </c>
      <c r="O122">
        <v>0</v>
      </c>
    </row>
    <row r="123" spans="1:15" x14ac:dyDescent="0.35">
      <c r="A123" t="s">
        <v>108</v>
      </c>
      <c r="B123" t="s">
        <v>54</v>
      </c>
      <c r="C123" t="s">
        <v>142</v>
      </c>
      <c r="D123">
        <v>100472</v>
      </c>
      <c r="E123" t="s">
        <v>204</v>
      </c>
      <c r="F123">
        <v>0</v>
      </c>
      <c r="G123">
        <v>0</v>
      </c>
      <c r="H123">
        <v>0</v>
      </c>
      <c r="I123">
        <v>0</v>
      </c>
      <c r="J123">
        <v>0</v>
      </c>
      <c r="K123" t="s">
        <v>109</v>
      </c>
      <c r="L123">
        <v>0</v>
      </c>
      <c r="M123">
        <v>0</v>
      </c>
      <c r="N123">
        <v>0</v>
      </c>
      <c r="O123">
        <v>0</v>
      </c>
    </row>
    <row r="124" spans="1:15" x14ac:dyDescent="0.35">
      <c r="A124" t="s">
        <v>108</v>
      </c>
      <c r="B124" t="s">
        <v>54</v>
      </c>
      <c r="C124" t="s">
        <v>142</v>
      </c>
      <c r="D124">
        <v>100472</v>
      </c>
      <c r="E124" t="s">
        <v>205</v>
      </c>
      <c r="F124">
        <v>0</v>
      </c>
      <c r="G124">
        <v>0</v>
      </c>
      <c r="H124">
        <v>0</v>
      </c>
      <c r="I124">
        <v>0</v>
      </c>
      <c r="J124">
        <v>0</v>
      </c>
      <c r="K124" t="s">
        <v>109</v>
      </c>
      <c r="L124">
        <v>0</v>
      </c>
      <c r="M124">
        <v>0</v>
      </c>
      <c r="N124">
        <v>0</v>
      </c>
      <c r="O124">
        <v>0</v>
      </c>
    </row>
    <row r="125" spans="1:15" x14ac:dyDescent="0.35">
      <c r="A125" t="s">
        <v>108</v>
      </c>
      <c r="B125" t="s">
        <v>54</v>
      </c>
      <c r="C125" t="s">
        <v>142</v>
      </c>
      <c r="D125">
        <v>100472</v>
      </c>
      <c r="E125" t="s">
        <v>206</v>
      </c>
      <c r="F125">
        <v>0</v>
      </c>
      <c r="G125">
        <v>0</v>
      </c>
      <c r="H125">
        <v>0</v>
      </c>
      <c r="I125">
        <v>0</v>
      </c>
      <c r="J125">
        <v>0</v>
      </c>
      <c r="K125" t="s">
        <v>109</v>
      </c>
      <c r="L125">
        <v>0</v>
      </c>
      <c r="M125">
        <v>0</v>
      </c>
      <c r="N125">
        <v>0</v>
      </c>
      <c r="O125">
        <v>0</v>
      </c>
    </row>
    <row r="126" spans="1:15" x14ac:dyDescent="0.35">
      <c r="A126" t="s">
        <v>108</v>
      </c>
      <c r="B126" t="s">
        <v>54</v>
      </c>
      <c r="C126" t="s">
        <v>142</v>
      </c>
      <c r="D126">
        <v>100472</v>
      </c>
      <c r="E126" t="s">
        <v>207</v>
      </c>
      <c r="F126">
        <v>0</v>
      </c>
      <c r="G126">
        <v>0</v>
      </c>
      <c r="H126">
        <v>0</v>
      </c>
      <c r="I126">
        <v>0</v>
      </c>
      <c r="J126">
        <v>0</v>
      </c>
      <c r="K126" t="s">
        <v>109</v>
      </c>
      <c r="L126">
        <v>0</v>
      </c>
      <c r="M126">
        <v>0</v>
      </c>
      <c r="N126">
        <v>0</v>
      </c>
      <c r="O126">
        <v>0</v>
      </c>
    </row>
    <row r="127" spans="1:15" x14ac:dyDescent="0.35">
      <c r="A127" t="s">
        <v>108</v>
      </c>
      <c r="B127" t="s">
        <v>54</v>
      </c>
      <c r="C127" t="s">
        <v>142</v>
      </c>
      <c r="D127">
        <v>100472</v>
      </c>
      <c r="E127" t="s">
        <v>208</v>
      </c>
      <c r="F127">
        <v>0</v>
      </c>
      <c r="G127">
        <v>0</v>
      </c>
      <c r="H127">
        <v>0</v>
      </c>
      <c r="I127">
        <v>0</v>
      </c>
      <c r="J127">
        <v>0</v>
      </c>
      <c r="K127" t="s">
        <v>109</v>
      </c>
      <c r="L127">
        <v>0</v>
      </c>
      <c r="M127">
        <v>0</v>
      </c>
      <c r="N127">
        <v>0</v>
      </c>
      <c r="O127">
        <v>0</v>
      </c>
    </row>
    <row r="128" spans="1:15" x14ac:dyDescent="0.35">
      <c r="A128" t="s">
        <v>108</v>
      </c>
      <c r="B128" t="s">
        <v>54</v>
      </c>
      <c r="C128" t="s">
        <v>142</v>
      </c>
      <c r="D128">
        <v>100472</v>
      </c>
      <c r="E128" t="s">
        <v>209</v>
      </c>
      <c r="F128">
        <v>0</v>
      </c>
      <c r="G128">
        <v>0</v>
      </c>
      <c r="H128">
        <v>0</v>
      </c>
      <c r="I128">
        <v>0</v>
      </c>
      <c r="J128">
        <v>0</v>
      </c>
      <c r="K128" t="s">
        <v>109</v>
      </c>
      <c r="L128">
        <v>0</v>
      </c>
      <c r="M128">
        <v>0</v>
      </c>
      <c r="N128">
        <v>0</v>
      </c>
      <c r="O128">
        <v>0</v>
      </c>
    </row>
    <row r="129" spans="1:15" x14ac:dyDescent="0.35">
      <c r="A129" t="s">
        <v>108</v>
      </c>
      <c r="B129" t="s">
        <v>54</v>
      </c>
      <c r="C129" t="s">
        <v>142</v>
      </c>
      <c r="D129">
        <v>100472</v>
      </c>
      <c r="E129" t="s">
        <v>210</v>
      </c>
      <c r="F129">
        <v>0</v>
      </c>
      <c r="G129">
        <v>0</v>
      </c>
      <c r="H129">
        <v>0</v>
      </c>
      <c r="I129">
        <v>0</v>
      </c>
      <c r="J129">
        <v>0</v>
      </c>
      <c r="K129" t="s">
        <v>109</v>
      </c>
      <c r="L129">
        <v>0</v>
      </c>
      <c r="M129">
        <v>0</v>
      </c>
      <c r="N129">
        <v>0</v>
      </c>
      <c r="O129">
        <v>0</v>
      </c>
    </row>
    <row r="130" spans="1:15" x14ac:dyDescent="0.35">
      <c r="A130" t="s">
        <v>108</v>
      </c>
      <c r="B130" t="s">
        <v>54</v>
      </c>
      <c r="C130" t="s">
        <v>142</v>
      </c>
      <c r="D130">
        <v>100472</v>
      </c>
      <c r="E130" t="s">
        <v>211</v>
      </c>
      <c r="F130">
        <v>0</v>
      </c>
      <c r="G130">
        <v>0</v>
      </c>
      <c r="H130">
        <v>0</v>
      </c>
      <c r="I130">
        <v>0</v>
      </c>
      <c r="J130">
        <v>0</v>
      </c>
      <c r="K130" t="s">
        <v>109</v>
      </c>
      <c r="L130">
        <v>0</v>
      </c>
      <c r="M130">
        <v>0</v>
      </c>
      <c r="N130">
        <v>0</v>
      </c>
      <c r="O130">
        <v>0</v>
      </c>
    </row>
    <row r="131" spans="1:15" x14ac:dyDescent="0.35">
      <c r="A131" t="s">
        <v>108</v>
      </c>
      <c r="B131" t="s">
        <v>54</v>
      </c>
      <c r="C131" t="s">
        <v>142</v>
      </c>
      <c r="D131">
        <v>100472</v>
      </c>
      <c r="E131" t="s">
        <v>212</v>
      </c>
      <c r="F131">
        <v>0</v>
      </c>
      <c r="G131">
        <v>0</v>
      </c>
      <c r="H131">
        <v>0</v>
      </c>
      <c r="I131">
        <v>0</v>
      </c>
      <c r="J131">
        <v>0</v>
      </c>
      <c r="K131" t="s">
        <v>109</v>
      </c>
      <c r="L131">
        <v>0</v>
      </c>
      <c r="M131">
        <v>0</v>
      </c>
      <c r="N131">
        <v>0</v>
      </c>
      <c r="O131">
        <v>0</v>
      </c>
    </row>
    <row r="132" spans="1:15" x14ac:dyDescent="0.35">
      <c r="A132" t="s">
        <v>108</v>
      </c>
      <c r="B132" t="s">
        <v>54</v>
      </c>
      <c r="C132" t="s">
        <v>26</v>
      </c>
      <c r="D132">
        <v>100463</v>
      </c>
      <c r="F132">
        <v>7464</v>
      </c>
      <c r="G132">
        <v>42462</v>
      </c>
      <c r="H132">
        <v>30.684999999999999</v>
      </c>
      <c r="I132">
        <v>243.24588561186201</v>
      </c>
      <c r="J132">
        <v>1383.8031611536501</v>
      </c>
      <c r="K132" t="s">
        <v>109</v>
      </c>
      <c r="L132">
        <v>0</v>
      </c>
      <c r="M132">
        <v>0</v>
      </c>
      <c r="N132">
        <v>0</v>
      </c>
      <c r="O132">
        <v>-30.684999999999999</v>
      </c>
    </row>
    <row r="133" spans="1:15" x14ac:dyDescent="0.35">
      <c r="A133" t="s">
        <v>108</v>
      </c>
      <c r="B133" t="s">
        <v>54</v>
      </c>
      <c r="C133" t="s">
        <v>10</v>
      </c>
      <c r="D133">
        <v>100411</v>
      </c>
      <c r="F133">
        <v>7464</v>
      </c>
      <c r="G133">
        <v>42462</v>
      </c>
      <c r="H133">
        <v>53.562777777777697</v>
      </c>
      <c r="I133">
        <v>139.35050252559299</v>
      </c>
      <c r="J133">
        <v>792.75201476979203</v>
      </c>
      <c r="K133" t="s">
        <v>109</v>
      </c>
      <c r="L133">
        <v>361.25</v>
      </c>
      <c r="M133">
        <v>20.661591695501698</v>
      </c>
      <c r="N133">
        <v>38.574533571098399</v>
      </c>
      <c r="O133">
        <v>-32.901186082275999</v>
      </c>
    </row>
    <row r="134" spans="1:15" x14ac:dyDescent="0.35">
      <c r="A134" t="s">
        <v>108</v>
      </c>
      <c r="B134" t="s">
        <v>54</v>
      </c>
      <c r="C134" t="s">
        <v>11</v>
      </c>
      <c r="D134">
        <v>100410</v>
      </c>
      <c r="F134">
        <v>7464</v>
      </c>
      <c r="G134">
        <v>42462</v>
      </c>
      <c r="H134">
        <v>6.39472222222222</v>
      </c>
      <c r="I134">
        <v>1167.2125450675401</v>
      </c>
      <c r="J134">
        <v>6640.1633291342596</v>
      </c>
      <c r="K134" t="s">
        <v>109</v>
      </c>
      <c r="L134">
        <v>361.25</v>
      </c>
      <c r="M134">
        <v>20.661591695501698</v>
      </c>
      <c r="N134">
        <v>323.103818703819</v>
      </c>
      <c r="O134">
        <v>14.266869473279501</v>
      </c>
    </row>
    <row r="135" spans="1:15" x14ac:dyDescent="0.35">
      <c r="A135" t="s">
        <v>108</v>
      </c>
      <c r="B135" t="s">
        <v>54</v>
      </c>
      <c r="C135" t="s">
        <v>12</v>
      </c>
      <c r="D135">
        <v>100412</v>
      </c>
      <c r="F135">
        <v>0</v>
      </c>
      <c r="G135">
        <v>0</v>
      </c>
      <c r="H135">
        <v>0</v>
      </c>
      <c r="I135">
        <v>0</v>
      </c>
      <c r="J135">
        <v>0</v>
      </c>
      <c r="K135" t="s">
        <v>5</v>
      </c>
      <c r="L135">
        <v>0</v>
      </c>
      <c r="M135">
        <v>0.79625000000000001</v>
      </c>
      <c r="N135">
        <v>0</v>
      </c>
      <c r="O135">
        <v>0.79625000000000001</v>
      </c>
    </row>
    <row r="136" spans="1:15" x14ac:dyDescent="0.35">
      <c r="A136" t="s">
        <v>108</v>
      </c>
      <c r="B136" t="s">
        <v>54</v>
      </c>
      <c r="C136" t="s">
        <v>62</v>
      </c>
      <c r="D136">
        <v>100462</v>
      </c>
      <c r="F136">
        <v>7464</v>
      </c>
      <c r="G136">
        <v>42462</v>
      </c>
      <c r="H136">
        <v>6.56</v>
      </c>
      <c r="I136">
        <v>1137.80487804878</v>
      </c>
      <c r="J136">
        <v>6472.8658536585299</v>
      </c>
      <c r="K136" t="s">
        <v>109</v>
      </c>
      <c r="L136">
        <v>0</v>
      </c>
      <c r="M136">
        <v>0</v>
      </c>
      <c r="N136">
        <v>0</v>
      </c>
      <c r="O136">
        <v>-6.56</v>
      </c>
    </row>
    <row r="137" spans="1:15" x14ac:dyDescent="0.35">
      <c r="A137" t="s">
        <v>108</v>
      </c>
      <c r="B137" t="s">
        <v>55</v>
      </c>
      <c r="C137" t="s">
        <v>63</v>
      </c>
      <c r="D137">
        <v>100464</v>
      </c>
      <c r="F137">
        <v>0</v>
      </c>
      <c r="G137">
        <v>0</v>
      </c>
      <c r="H137">
        <v>5.3788888888888797</v>
      </c>
      <c r="I137">
        <v>0</v>
      </c>
      <c r="J137">
        <v>0</v>
      </c>
      <c r="K137" t="s">
        <v>109</v>
      </c>
      <c r="L137">
        <v>0</v>
      </c>
      <c r="M137">
        <v>0</v>
      </c>
      <c r="N137">
        <v>0</v>
      </c>
      <c r="O137">
        <v>-5.3788888888888797</v>
      </c>
    </row>
    <row r="138" spans="1:15" x14ac:dyDescent="0.35">
      <c r="A138" t="s">
        <v>108</v>
      </c>
      <c r="B138" t="s">
        <v>55</v>
      </c>
      <c r="C138" t="s">
        <v>16</v>
      </c>
      <c r="D138">
        <v>100465</v>
      </c>
      <c r="F138">
        <v>0</v>
      </c>
      <c r="G138">
        <v>0</v>
      </c>
      <c r="H138">
        <v>24.190833333333298</v>
      </c>
      <c r="I138">
        <v>0</v>
      </c>
      <c r="J138">
        <v>0</v>
      </c>
      <c r="K138" t="s">
        <v>109</v>
      </c>
      <c r="L138">
        <v>0</v>
      </c>
      <c r="M138">
        <v>0</v>
      </c>
      <c r="N138">
        <v>0</v>
      </c>
      <c r="O138">
        <v>-24.190833333333298</v>
      </c>
    </row>
    <row r="139" spans="1:15" x14ac:dyDescent="0.35">
      <c r="A139" t="s">
        <v>0</v>
      </c>
      <c r="B139" t="s">
        <v>0</v>
      </c>
      <c r="C139" t="s">
        <v>64</v>
      </c>
      <c r="D139">
        <v>100426</v>
      </c>
      <c r="F139">
        <v>0</v>
      </c>
      <c r="G139">
        <v>0</v>
      </c>
      <c r="H139">
        <v>0</v>
      </c>
      <c r="I139">
        <v>0</v>
      </c>
      <c r="J139">
        <v>0</v>
      </c>
      <c r="K139" t="s">
        <v>5</v>
      </c>
      <c r="L139">
        <v>0</v>
      </c>
      <c r="M139">
        <v>0.97749999999999904</v>
      </c>
      <c r="N139">
        <v>0</v>
      </c>
      <c r="O139">
        <v>0.97749999999999904</v>
      </c>
    </row>
    <row r="140" spans="1:15" x14ac:dyDescent="0.35">
      <c r="A140" t="s">
        <v>56</v>
      </c>
      <c r="B140" t="s">
        <v>56</v>
      </c>
      <c r="C140" t="s">
        <v>65</v>
      </c>
      <c r="D140">
        <v>100427</v>
      </c>
      <c r="F140">
        <v>0</v>
      </c>
      <c r="G140">
        <v>0</v>
      </c>
      <c r="H140">
        <v>8.1738888888888894</v>
      </c>
      <c r="I140">
        <v>0</v>
      </c>
      <c r="J140">
        <v>0</v>
      </c>
      <c r="K140" t="s">
        <v>5</v>
      </c>
      <c r="L140">
        <v>0</v>
      </c>
      <c r="M140">
        <v>1.4225000000000001</v>
      </c>
      <c r="N140">
        <v>17.402976959151701</v>
      </c>
      <c r="O140">
        <v>-6.7513888888888802</v>
      </c>
    </row>
    <row r="141" spans="1:15" x14ac:dyDescent="0.35">
      <c r="A141" t="s">
        <v>56</v>
      </c>
      <c r="B141" t="s">
        <v>56</v>
      </c>
      <c r="C141" t="s">
        <v>66</v>
      </c>
      <c r="D141">
        <v>100428</v>
      </c>
      <c r="F141">
        <v>0</v>
      </c>
      <c r="G141">
        <v>0</v>
      </c>
      <c r="H141">
        <v>14.1166666666666</v>
      </c>
      <c r="I141">
        <v>0</v>
      </c>
      <c r="J141">
        <v>0</v>
      </c>
      <c r="K141" t="s">
        <v>5</v>
      </c>
      <c r="L141">
        <v>0</v>
      </c>
      <c r="M141">
        <v>7.3749999999999996E-2</v>
      </c>
      <c r="N141">
        <v>0.52243211334120399</v>
      </c>
      <c r="O141">
        <v>-14.042916666666599</v>
      </c>
    </row>
    <row r="142" spans="1:15" x14ac:dyDescent="0.35">
      <c r="A142" t="s">
        <v>56</v>
      </c>
      <c r="B142" t="s">
        <v>56</v>
      </c>
      <c r="C142" t="s">
        <v>31</v>
      </c>
      <c r="D142">
        <v>100429</v>
      </c>
      <c r="F142">
        <v>0</v>
      </c>
      <c r="G142">
        <v>0</v>
      </c>
      <c r="H142">
        <v>27.311111111111099</v>
      </c>
      <c r="I142">
        <v>0</v>
      </c>
      <c r="J142">
        <v>0</v>
      </c>
      <c r="K142" t="s">
        <v>5</v>
      </c>
      <c r="L142">
        <v>0</v>
      </c>
      <c r="M142">
        <v>0.85499999999999998</v>
      </c>
      <c r="N142">
        <v>3.1305939788445798</v>
      </c>
      <c r="O142">
        <v>-26.456111111111099</v>
      </c>
    </row>
    <row r="143" spans="1:15" x14ac:dyDescent="0.35">
      <c r="A143" t="s">
        <v>56</v>
      </c>
      <c r="B143" t="s">
        <v>56</v>
      </c>
      <c r="C143" t="s">
        <v>67</v>
      </c>
      <c r="D143">
        <v>100466</v>
      </c>
      <c r="F143">
        <v>0</v>
      </c>
      <c r="G143">
        <v>0</v>
      </c>
      <c r="H143">
        <v>3</v>
      </c>
      <c r="I143">
        <v>0</v>
      </c>
      <c r="J143">
        <v>0</v>
      </c>
      <c r="K143" t="s">
        <v>109</v>
      </c>
      <c r="L143">
        <v>0</v>
      </c>
      <c r="M143">
        <v>0</v>
      </c>
      <c r="N143">
        <v>0</v>
      </c>
      <c r="O143">
        <v>-3</v>
      </c>
    </row>
    <row r="144" spans="1:15" x14ac:dyDescent="0.35">
      <c r="A144" t="s">
        <v>57</v>
      </c>
      <c r="B144" t="s">
        <v>57</v>
      </c>
      <c r="C144" t="s">
        <v>68</v>
      </c>
      <c r="D144">
        <v>100467</v>
      </c>
      <c r="F144">
        <v>0</v>
      </c>
      <c r="G144">
        <v>0</v>
      </c>
      <c r="H144">
        <v>0</v>
      </c>
      <c r="I144">
        <v>0</v>
      </c>
      <c r="J144">
        <v>0</v>
      </c>
      <c r="K144" t="s">
        <v>109</v>
      </c>
      <c r="L144">
        <v>0</v>
      </c>
      <c r="M144">
        <v>0</v>
      </c>
      <c r="N144">
        <v>0</v>
      </c>
      <c r="O144">
        <v>0</v>
      </c>
    </row>
    <row r="145" spans="1:15" x14ac:dyDescent="0.35">
      <c r="A145" t="s">
        <v>57</v>
      </c>
      <c r="B145" t="s">
        <v>57</v>
      </c>
      <c r="C145" t="s">
        <v>69</v>
      </c>
      <c r="D145">
        <v>100468</v>
      </c>
      <c r="F145">
        <v>0</v>
      </c>
      <c r="G145">
        <v>0</v>
      </c>
      <c r="H145">
        <v>0</v>
      </c>
      <c r="I145">
        <v>0</v>
      </c>
      <c r="J145">
        <v>0</v>
      </c>
      <c r="K145" t="s">
        <v>109</v>
      </c>
      <c r="L145">
        <v>0</v>
      </c>
      <c r="M145">
        <v>0</v>
      </c>
      <c r="N145">
        <v>0</v>
      </c>
      <c r="O145">
        <v>0</v>
      </c>
    </row>
    <row r="146" spans="1:15" x14ac:dyDescent="0.35">
      <c r="A146" t="s">
        <v>57</v>
      </c>
      <c r="B146" t="s">
        <v>57</v>
      </c>
      <c r="C146" t="s">
        <v>70</v>
      </c>
      <c r="D146">
        <v>100469</v>
      </c>
      <c r="F146">
        <v>0</v>
      </c>
      <c r="G146">
        <v>0</v>
      </c>
      <c r="H146">
        <v>1.4666666666666599</v>
      </c>
      <c r="I146">
        <v>0</v>
      </c>
      <c r="J146">
        <v>0</v>
      </c>
      <c r="K146" t="s">
        <v>109</v>
      </c>
      <c r="L146">
        <v>0</v>
      </c>
      <c r="M146">
        <v>0</v>
      </c>
      <c r="N146">
        <v>0</v>
      </c>
      <c r="O146">
        <v>-1.4666666666666599</v>
      </c>
    </row>
    <row r="147" spans="1:15" x14ac:dyDescent="0.35">
      <c r="A147" t="s">
        <v>58</v>
      </c>
      <c r="B147" t="s">
        <v>58</v>
      </c>
      <c r="C147" t="s">
        <v>71</v>
      </c>
      <c r="D147">
        <v>100453</v>
      </c>
      <c r="F147">
        <v>0</v>
      </c>
      <c r="G147">
        <v>0</v>
      </c>
      <c r="H147">
        <v>1.5</v>
      </c>
      <c r="I147">
        <v>0</v>
      </c>
      <c r="J147">
        <v>0</v>
      </c>
      <c r="K147" t="s">
        <v>109</v>
      </c>
      <c r="L147">
        <v>0</v>
      </c>
      <c r="M147">
        <v>0</v>
      </c>
      <c r="N147">
        <v>0</v>
      </c>
      <c r="O147">
        <v>-1.5</v>
      </c>
    </row>
    <row r="148" spans="1:15" x14ac:dyDescent="0.35">
      <c r="A148" t="s">
        <v>58</v>
      </c>
      <c r="B148" t="s">
        <v>58</v>
      </c>
      <c r="C148" t="s">
        <v>72</v>
      </c>
      <c r="D148">
        <v>100454</v>
      </c>
      <c r="F148">
        <v>0</v>
      </c>
      <c r="G148">
        <v>0</v>
      </c>
      <c r="H148">
        <v>11.9602777777777</v>
      </c>
      <c r="I148">
        <v>0</v>
      </c>
      <c r="J148">
        <v>0</v>
      </c>
      <c r="K148" t="s">
        <v>109</v>
      </c>
      <c r="L148">
        <v>0</v>
      </c>
      <c r="M148">
        <v>0</v>
      </c>
      <c r="N148">
        <v>0</v>
      </c>
      <c r="O148">
        <v>-11.9602777777777</v>
      </c>
    </row>
    <row r="149" spans="1:15" x14ac:dyDescent="0.35">
      <c r="A149" t="s">
        <v>59</v>
      </c>
      <c r="B149" t="s">
        <v>59</v>
      </c>
      <c r="C149" t="s">
        <v>73</v>
      </c>
      <c r="D149">
        <v>100436</v>
      </c>
      <c r="F149">
        <v>0</v>
      </c>
      <c r="G149">
        <v>0</v>
      </c>
      <c r="H149">
        <v>6</v>
      </c>
      <c r="I149">
        <v>0</v>
      </c>
      <c r="J149">
        <v>0</v>
      </c>
      <c r="K149" t="s">
        <v>109</v>
      </c>
      <c r="L149">
        <v>0</v>
      </c>
      <c r="M149">
        <v>0</v>
      </c>
      <c r="N149">
        <v>0</v>
      </c>
      <c r="O149">
        <v>-6</v>
      </c>
    </row>
    <row r="150" spans="1:15" x14ac:dyDescent="0.35">
      <c r="A150" t="s">
        <v>59</v>
      </c>
      <c r="B150" t="s">
        <v>59</v>
      </c>
      <c r="C150" t="s">
        <v>74</v>
      </c>
      <c r="D150">
        <v>100470</v>
      </c>
      <c r="F150">
        <v>0</v>
      </c>
      <c r="G150">
        <v>0</v>
      </c>
      <c r="H150">
        <v>0.390277777777777</v>
      </c>
      <c r="I150">
        <v>0</v>
      </c>
      <c r="J150">
        <v>0</v>
      </c>
      <c r="K150" t="s">
        <v>109</v>
      </c>
      <c r="L150">
        <v>0</v>
      </c>
      <c r="M150">
        <v>0</v>
      </c>
      <c r="N150">
        <v>0</v>
      </c>
      <c r="O150">
        <v>-0.390277777777777</v>
      </c>
    </row>
    <row r="151" spans="1:15" x14ac:dyDescent="0.35">
      <c r="A151" t="s">
        <v>59</v>
      </c>
      <c r="B151" t="s">
        <v>59</v>
      </c>
      <c r="C151" t="s">
        <v>75</v>
      </c>
      <c r="D151">
        <v>100439</v>
      </c>
      <c r="F151">
        <v>0</v>
      </c>
      <c r="G151">
        <v>0</v>
      </c>
      <c r="H151">
        <v>0</v>
      </c>
      <c r="I151">
        <v>0</v>
      </c>
      <c r="J151">
        <v>0</v>
      </c>
      <c r="K151" t="s">
        <v>109</v>
      </c>
      <c r="L151">
        <v>0</v>
      </c>
      <c r="M151">
        <v>0</v>
      </c>
      <c r="N151">
        <v>0</v>
      </c>
      <c r="O151">
        <v>0</v>
      </c>
    </row>
    <row r="152" spans="1:15" x14ac:dyDescent="0.35">
      <c r="A152" t="s">
        <v>213</v>
      </c>
      <c r="B152" t="s">
        <v>213</v>
      </c>
      <c r="C152" t="s">
        <v>214</v>
      </c>
      <c r="D152">
        <v>100471</v>
      </c>
      <c r="E152" t="s">
        <v>143</v>
      </c>
      <c r="F152">
        <v>0</v>
      </c>
      <c r="G152">
        <v>0</v>
      </c>
      <c r="H152">
        <v>0</v>
      </c>
      <c r="I152">
        <v>0</v>
      </c>
      <c r="J152">
        <v>0</v>
      </c>
      <c r="K152" t="s">
        <v>109</v>
      </c>
      <c r="L152">
        <v>0</v>
      </c>
      <c r="M152">
        <v>0</v>
      </c>
      <c r="N152">
        <v>0</v>
      </c>
      <c r="O152">
        <v>0</v>
      </c>
    </row>
    <row r="153" spans="1:15" x14ac:dyDescent="0.35">
      <c r="A153" t="s">
        <v>213</v>
      </c>
      <c r="B153" t="s">
        <v>213</v>
      </c>
      <c r="C153" t="s">
        <v>214</v>
      </c>
      <c r="D153">
        <v>100471</v>
      </c>
      <c r="E153" t="s">
        <v>144</v>
      </c>
      <c r="F153">
        <v>0</v>
      </c>
      <c r="G153">
        <v>0</v>
      </c>
      <c r="H153">
        <v>0</v>
      </c>
      <c r="I153">
        <v>0</v>
      </c>
      <c r="J153">
        <v>0</v>
      </c>
      <c r="K153" t="s">
        <v>109</v>
      </c>
      <c r="L153">
        <v>0</v>
      </c>
      <c r="M153">
        <v>0</v>
      </c>
      <c r="N153">
        <v>0</v>
      </c>
      <c r="O153">
        <v>0</v>
      </c>
    </row>
    <row r="154" spans="1:15" x14ac:dyDescent="0.35">
      <c r="A154" t="s">
        <v>213</v>
      </c>
      <c r="B154" t="s">
        <v>213</v>
      </c>
      <c r="C154" t="s">
        <v>214</v>
      </c>
      <c r="D154">
        <v>100471</v>
      </c>
      <c r="E154" t="s">
        <v>145</v>
      </c>
      <c r="F154">
        <v>0</v>
      </c>
      <c r="G154">
        <v>0</v>
      </c>
      <c r="H154">
        <v>0</v>
      </c>
      <c r="I154">
        <v>0</v>
      </c>
      <c r="J154">
        <v>0</v>
      </c>
      <c r="K154" t="s">
        <v>109</v>
      </c>
      <c r="L154">
        <v>0</v>
      </c>
      <c r="M154">
        <v>0</v>
      </c>
      <c r="N154">
        <v>0</v>
      </c>
      <c r="O154">
        <v>0</v>
      </c>
    </row>
    <row r="155" spans="1:15" x14ac:dyDescent="0.35">
      <c r="A155" t="s">
        <v>213</v>
      </c>
      <c r="B155" t="s">
        <v>213</v>
      </c>
      <c r="C155" t="s">
        <v>214</v>
      </c>
      <c r="D155">
        <v>100471</v>
      </c>
      <c r="E155" t="s">
        <v>146</v>
      </c>
      <c r="F155">
        <v>0</v>
      </c>
      <c r="G155">
        <v>0</v>
      </c>
      <c r="H155">
        <v>0</v>
      </c>
      <c r="I155">
        <v>0</v>
      </c>
      <c r="J155">
        <v>0</v>
      </c>
      <c r="K155" t="s">
        <v>109</v>
      </c>
      <c r="L155">
        <v>0</v>
      </c>
      <c r="M155">
        <v>0</v>
      </c>
      <c r="N155">
        <v>0</v>
      </c>
      <c r="O155">
        <v>0</v>
      </c>
    </row>
    <row r="156" spans="1:15" x14ac:dyDescent="0.35">
      <c r="A156" t="s">
        <v>213</v>
      </c>
      <c r="B156" t="s">
        <v>213</v>
      </c>
      <c r="C156" t="s">
        <v>214</v>
      </c>
      <c r="D156">
        <v>100471</v>
      </c>
      <c r="E156" t="s">
        <v>147</v>
      </c>
      <c r="F156">
        <v>0</v>
      </c>
      <c r="G156">
        <v>0</v>
      </c>
      <c r="H156">
        <v>0</v>
      </c>
      <c r="I156">
        <v>0</v>
      </c>
      <c r="J156">
        <v>0</v>
      </c>
      <c r="K156" t="s">
        <v>109</v>
      </c>
      <c r="L156">
        <v>0</v>
      </c>
      <c r="M156">
        <v>0</v>
      </c>
      <c r="N156">
        <v>0</v>
      </c>
      <c r="O156">
        <v>0</v>
      </c>
    </row>
    <row r="157" spans="1:15" x14ac:dyDescent="0.35">
      <c r="A157" t="s">
        <v>213</v>
      </c>
      <c r="B157" t="s">
        <v>213</v>
      </c>
      <c r="C157" t="s">
        <v>214</v>
      </c>
      <c r="D157">
        <v>100471</v>
      </c>
      <c r="E157" t="s">
        <v>148</v>
      </c>
      <c r="F157">
        <v>0</v>
      </c>
      <c r="G157">
        <v>0</v>
      </c>
      <c r="H157">
        <v>0</v>
      </c>
      <c r="I157">
        <v>0</v>
      </c>
      <c r="J157">
        <v>0</v>
      </c>
      <c r="K157" t="s">
        <v>109</v>
      </c>
      <c r="L157">
        <v>0</v>
      </c>
      <c r="M157">
        <v>0</v>
      </c>
      <c r="N157">
        <v>0</v>
      </c>
      <c r="O157">
        <v>0</v>
      </c>
    </row>
    <row r="158" spans="1:15" x14ac:dyDescent="0.35">
      <c r="A158" t="s">
        <v>213</v>
      </c>
      <c r="B158" t="s">
        <v>213</v>
      </c>
      <c r="C158" t="s">
        <v>214</v>
      </c>
      <c r="D158">
        <v>100471</v>
      </c>
      <c r="E158" t="s">
        <v>149</v>
      </c>
      <c r="F158">
        <v>0</v>
      </c>
      <c r="G158">
        <v>0</v>
      </c>
      <c r="H158">
        <v>0</v>
      </c>
      <c r="I158">
        <v>0</v>
      </c>
      <c r="J158">
        <v>0</v>
      </c>
      <c r="K158" t="s">
        <v>109</v>
      </c>
      <c r="L158">
        <v>0</v>
      </c>
      <c r="M158">
        <v>0</v>
      </c>
      <c r="N158">
        <v>0</v>
      </c>
      <c r="O158">
        <v>0</v>
      </c>
    </row>
    <row r="159" spans="1:15" x14ac:dyDescent="0.35">
      <c r="A159" t="s">
        <v>213</v>
      </c>
      <c r="B159" t="s">
        <v>213</v>
      </c>
      <c r="C159" t="s">
        <v>214</v>
      </c>
      <c r="D159">
        <v>100471</v>
      </c>
      <c r="E159" t="s">
        <v>150</v>
      </c>
      <c r="F159">
        <v>0</v>
      </c>
      <c r="G159">
        <v>0</v>
      </c>
      <c r="H159">
        <v>0</v>
      </c>
      <c r="I159">
        <v>0</v>
      </c>
      <c r="J159">
        <v>0</v>
      </c>
      <c r="K159" t="s">
        <v>109</v>
      </c>
      <c r="L159">
        <v>0</v>
      </c>
      <c r="M159">
        <v>0</v>
      </c>
      <c r="N159">
        <v>0</v>
      </c>
      <c r="O159">
        <v>0</v>
      </c>
    </row>
    <row r="160" spans="1:15" x14ac:dyDescent="0.35">
      <c r="A160" t="s">
        <v>213</v>
      </c>
      <c r="B160" t="s">
        <v>213</v>
      </c>
      <c r="C160" t="s">
        <v>214</v>
      </c>
      <c r="D160">
        <v>100471</v>
      </c>
      <c r="E160" t="s">
        <v>151</v>
      </c>
      <c r="F160">
        <v>0</v>
      </c>
      <c r="G160">
        <v>0</v>
      </c>
      <c r="H160">
        <v>0</v>
      </c>
      <c r="I160">
        <v>0</v>
      </c>
      <c r="J160">
        <v>0</v>
      </c>
      <c r="K160" t="s">
        <v>109</v>
      </c>
      <c r="L160">
        <v>0</v>
      </c>
      <c r="M160">
        <v>0</v>
      </c>
      <c r="N160">
        <v>0</v>
      </c>
      <c r="O160">
        <v>0</v>
      </c>
    </row>
    <row r="161" spans="1:15" x14ac:dyDescent="0.35">
      <c r="A161" t="s">
        <v>213</v>
      </c>
      <c r="B161" t="s">
        <v>213</v>
      </c>
      <c r="C161" t="s">
        <v>214</v>
      </c>
      <c r="D161">
        <v>100471</v>
      </c>
      <c r="E161" t="s">
        <v>152</v>
      </c>
      <c r="F161">
        <v>0</v>
      </c>
      <c r="G161">
        <v>0</v>
      </c>
      <c r="H161">
        <v>0</v>
      </c>
      <c r="I161">
        <v>0</v>
      </c>
      <c r="J161">
        <v>0</v>
      </c>
      <c r="K161" t="s">
        <v>109</v>
      </c>
      <c r="L161">
        <v>0</v>
      </c>
      <c r="M161">
        <v>0</v>
      </c>
      <c r="N161">
        <v>0</v>
      </c>
      <c r="O161">
        <v>0</v>
      </c>
    </row>
    <row r="162" spans="1:15" x14ac:dyDescent="0.35">
      <c r="A162" t="s">
        <v>213</v>
      </c>
      <c r="B162" t="s">
        <v>213</v>
      </c>
      <c r="C162" t="s">
        <v>214</v>
      </c>
      <c r="D162">
        <v>100471</v>
      </c>
      <c r="E162" t="s">
        <v>153</v>
      </c>
      <c r="F162">
        <v>0</v>
      </c>
      <c r="G162">
        <v>0</v>
      </c>
      <c r="H162">
        <v>0</v>
      </c>
      <c r="I162">
        <v>0</v>
      </c>
      <c r="J162">
        <v>0</v>
      </c>
      <c r="K162" t="s">
        <v>109</v>
      </c>
      <c r="L162">
        <v>0</v>
      </c>
      <c r="M162">
        <v>0</v>
      </c>
      <c r="N162">
        <v>0</v>
      </c>
      <c r="O162">
        <v>0</v>
      </c>
    </row>
    <row r="163" spans="1:15" x14ac:dyDescent="0.35">
      <c r="A163" t="s">
        <v>213</v>
      </c>
      <c r="B163" t="s">
        <v>213</v>
      </c>
      <c r="C163" t="s">
        <v>214</v>
      </c>
      <c r="D163">
        <v>100471</v>
      </c>
      <c r="E163" t="s">
        <v>154</v>
      </c>
      <c r="F163">
        <v>0</v>
      </c>
      <c r="G163">
        <v>0</v>
      </c>
      <c r="H163">
        <v>0</v>
      </c>
      <c r="I163">
        <v>0</v>
      </c>
      <c r="J163">
        <v>0</v>
      </c>
      <c r="K163" t="s">
        <v>109</v>
      </c>
      <c r="L163">
        <v>0</v>
      </c>
      <c r="M163">
        <v>0</v>
      </c>
      <c r="N163">
        <v>0</v>
      </c>
      <c r="O163">
        <v>0</v>
      </c>
    </row>
    <row r="164" spans="1:15" x14ac:dyDescent="0.35">
      <c r="A164" t="s">
        <v>213</v>
      </c>
      <c r="B164" t="s">
        <v>213</v>
      </c>
      <c r="C164" t="s">
        <v>214</v>
      </c>
      <c r="D164">
        <v>100471</v>
      </c>
      <c r="E164" t="s">
        <v>155</v>
      </c>
      <c r="F164">
        <v>0</v>
      </c>
      <c r="G164">
        <v>0</v>
      </c>
      <c r="H164">
        <v>0</v>
      </c>
      <c r="I164">
        <v>0</v>
      </c>
      <c r="J164">
        <v>0</v>
      </c>
      <c r="K164" t="s">
        <v>109</v>
      </c>
      <c r="L164">
        <v>0</v>
      </c>
      <c r="M164">
        <v>0</v>
      </c>
      <c r="N164">
        <v>0</v>
      </c>
      <c r="O164">
        <v>0</v>
      </c>
    </row>
    <row r="165" spans="1:15" x14ac:dyDescent="0.35">
      <c r="A165" t="s">
        <v>213</v>
      </c>
      <c r="B165" t="s">
        <v>213</v>
      </c>
      <c r="C165" t="s">
        <v>214</v>
      </c>
      <c r="D165">
        <v>100471</v>
      </c>
      <c r="E165" t="s">
        <v>156</v>
      </c>
      <c r="F165">
        <v>0</v>
      </c>
      <c r="G165">
        <v>0</v>
      </c>
      <c r="H165">
        <v>0</v>
      </c>
      <c r="I165">
        <v>0</v>
      </c>
      <c r="J165">
        <v>0</v>
      </c>
      <c r="K165" t="s">
        <v>109</v>
      </c>
      <c r="L165">
        <v>0</v>
      </c>
      <c r="M165">
        <v>0</v>
      </c>
      <c r="N165">
        <v>0</v>
      </c>
      <c r="O165">
        <v>0</v>
      </c>
    </row>
    <row r="166" spans="1:15" x14ac:dyDescent="0.35">
      <c r="A166" t="s">
        <v>213</v>
      </c>
      <c r="B166" t="s">
        <v>213</v>
      </c>
      <c r="C166" t="s">
        <v>214</v>
      </c>
      <c r="D166">
        <v>100471</v>
      </c>
      <c r="E166" t="s">
        <v>157</v>
      </c>
      <c r="F166">
        <v>0</v>
      </c>
      <c r="G166">
        <v>0</v>
      </c>
      <c r="H166">
        <v>0</v>
      </c>
      <c r="I166">
        <v>0</v>
      </c>
      <c r="J166">
        <v>0</v>
      </c>
      <c r="K166" t="s">
        <v>109</v>
      </c>
      <c r="L166">
        <v>0</v>
      </c>
      <c r="M166">
        <v>0</v>
      </c>
      <c r="N166">
        <v>0</v>
      </c>
      <c r="O166">
        <v>0</v>
      </c>
    </row>
    <row r="167" spans="1:15" x14ac:dyDescent="0.35">
      <c r="A167" t="s">
        <v>213</v>
      </c>
      <c r="B167" t="s">
        <v>213</v>
      </c>
      <c r="C167" t="s">
        <v>214</v>
      </c>
      <c r="D167">
        <v>100471</v>
      </c>
      <c r="E167" t="s">
        <v>158</v>
      </c>
      <c r="F167">
        <v>0</v>
      </c>
      <c r="G167">
        <v>0</v>
      </c>
      <c r="H167">
        <v>0</v>
      </c>
      <c r="I167">
        <v>0</v>
      </c>
      <c r="J167">
        <v>0</v>
      </c>
      <c r="K167" t="s">
        <v>109</v>
      </c>
      <c r="L167">
        <v>0</v>
      </c>
      <c r="M167">
        <v>0</v>
      </c>
      <c r="N167">
        <v>0</v>
      </c>
      <c r="O167">
        <v>0</v>
      </c>
    </row>
    <row r="168" spans="1:15" x14ac:dyDescent="0.35">
      <c r="A168" t="s">
        <v>213</v>
      </c>
      <c r="B168" t="s">
        <v>213</v>
      </c>
      <c r="C168" t="s">
        <v>214</v>
      </c>
      <c r="D168">
        <v>100471</v>
      </c>
      <c r="E168" t="s">
        <v>159</v>
      </c>
      <c r="F168">
        <v>0</v>
      </c>
      <c r="G168">
        <v>0</v>
      </c>
      <c r="H168">
        <v>0</v>
      </c>
      <c r="I168">
        <v>0</v>
      </c>
      <c r="J168">
        <v>0</v>
      </c>
      <c r="K168" t="s">
        <v>109</v>
      </c>
      <c r="L168">
        <v>0</v>
      </c>
      <c r="M168">
        <v>0</v>
      </c>
      <c r="N168">
        <v>0</v>
      </c>
      <c r="O168">
        <v>0</v>
      </c>
    </row>
    <row r="169" spans="1:15" x14ac:dyDescent="0.35">
      <c r="A169" t="s">
        <v>213</v>
      </c>
      <c r="B169" t="s">
        <v>213</v>
      </c>
      <c r="C169" t="s">
        <v>214</v>
      </c>
      <c r="D169">
        <v>100471</v>
      </c>
      <c r="E169" t="s">
        <v>160</v>
      </c>
      <c r="F169">
        <v>0</v>
      </c>
      <c r="G169">
        <v>0</v>
      </c>
      <c r="H169">
        <v>0</v>
      </c>
      <c r="I169">
        <v>0</v>
      </c>
      <c r="J169">
        <v>0</v>
      </c>
      <c r="K169" t="s">
        <v>109</v>
      </c>
      <c r="L169">
        <v>0</v>
      </c>
      <c r="M169">
        <v>0</v>
      </c>
      <c r="N169">
        <v>0</v>
      </c>
      <c r="O169">
        <v>0</v>
      </c>
    </row>
    <row r="170" spans="1:15" x14ac:dyDescent="0.35">
      <c r="A170" t="s">
        <v>213</v>
      </c>
      <c r="B170" t="s">
        <v>213</v>
      </c>
      <c r="C170" t="s">
        <v>214</v>
      </c>
      <c r="D170">
        <v>100471</v>
      </c>
      <c r="E170" t="s">
        <v>161</v>
      </c>
      <c r="F170">
        <v>0</v>
      </c>
      <c r="G170">
        <v>0</v>
      </c>
      <c r="H170">
        <v>0</v>
      </c>
      <c r="I170">
        <v>0</v>
      </c>
      <c r="J170">
        <v>0</v>
      </c>
      <c r="K170" t="s">
        <v>109</v>
      </c>
      <c r="L170">
        <v>0</v>
      </c>
      <c r="M170">
        <v>0</v>
      </c>
      <c r="N170">
        <v>0</v>
      </c>
      <c r="O170">
        <v>0</v>
      </c>
    </row>
    <row r="171" spans="1:15" x14ac:dyDescent="0.35">
      <c r="A171" t="s">
        <v>213</v>
      </c>
      <c r="B171" t="s">
        <v>213</v>
      </c>
      <c r="C171" t="s">
        <v>214</v>
      </c>
      <c r="D171">
        <v>100471</v>
      </c>
      <c r="E171" t="s">
        <v>162</v>
      </c>
      <c r="F171">
        <v>0</v>
      </c>
      <c r="G171">
        <v>0</v>
      </c>
      <c r="H171">
        <v>0</v>
      </c>
      <c r="I171">
        <v>0</v>
      </c>
      <c r="J171">
        <v>0</v>
      </c>
      <c r="K171" t="s">
        <v>109</v>
      </c>
      <c r="L171">
        <v>0</v>
      </c>
      <c r="M171">
        <v>0</v>
      </c>
      <c r="N171">
        <v>0</v>
      </c>
      <c r="O171">
        <v>0</v>
      </c>
    </row>
    <row r="172" spans="1:15" x14ac:dyDescent="0.35">
      <c r="A172" t="s">
        <v>213</v>
      </c>
      <c r="B172" t="s">
        <v>213</v>
      </c>
      <c r="C172" t="s">
        <v>214</v>
      </c>
      <c r="D172">
        <v>100471</v>
      </c>
      <c r="E172" t="s">
        <v>163</v>
      </c>
      <c r="F172">
        <v>0</v>
      </c>
      <c r="G172">
        <v>0</v>
      </c>
      <c r="H172">
        <v>0</v>
      </c>
      <c r="I172">
        <v>0</v>
      </c>
      <c r="J172">
        <v>0</v>
      </c>
      <c r="K172" t="s">
        <v>109</v>
      </c>
      <c r="L172">
        <v>0</v>
      </c>
      <c r="M172">
        <v>0</v>
      </c>
      <c r="N172">
        <v>0</v>
      </c>
      <c r="O172">
        <v>0</v>
      </c>
    </row>
    <row r="173" spans="1:15" x14ac:dyDescent="0.35">
      <c r="A173" t="s">
        <v>213</v>
      </c>
      <c r="B173" t="s">
        <v>213</v>
      </c>
      <c r="C173" t="s">
        <v>214</v>
      </c>
      <c r="D173">
        <v>100471</v>
      </c>
      <c r="E173" t="s">
        <v>164</v>
      </c>
      <c r="F173">
        <v>0</v>
      </c>
      <c r="G173">
        <v>0</v>
      </c>
      <c r="H173">
        <v>0</v>
      </c>
      <c r="I173">
        <v>0</v>
      </c>
      <c r="J173">
        <v>0</v>
      </c>
      <c r="K173" t="s">
        <v>109</v>
      </c>
      <c r="L173">
        <v>0</v>
      </c>
      <c r="M173">
        <v>0</v>
      </c>
      <c r="N173">
        <v>0</v>
      </c>
      <c r="O173">
        <v>0</v>
      </c>
    </row>
    <row r="174" spans="1:15" x14ac:dyDescent="0.35">
      <c r="A174" t="s">
        <v>213</v>
      </c>
      <c r="B174" t="s">
        <v>213</v>
      </c>
      <c r="C174" t="s">
        <v>214</v>
      </c>
      <c r="D174">
        <v>100471</v>
      </c>
      <c r="E174" t="s">
        <v>165</v>
      </c>
      <c r="F174">
        <v>0</v>
      </c>
      <c r="G174">
        <v>0</v>
      </c>
      <c r="H174">
        <v>0</v>
      </c>
      <c r="I174">
        <v>0</v>
      </c>
      <c r="J174">
        <v>0</v>
      </c>
      <c r="K174" t="s">
        <v>109</v>
      </c>
      <c r="L174">
        <v>0</v>
      </c>
      <c r="M174">
        <v>0</v>
      </c>
      <c r="N174">
        <v>0</v>
      </c>
      <c r="O174">
        <v>0</v>
      </c>
    </row>
    <row r="175" spans="1:15" x14ac:dyDescent="0.35">
      <c r="A175" t="s">
        <v>213</v>
      </c>
      <c r="B175" t="s">
        <v>213</v>
      </c>
      <c r="C175" t="s">
        <v>214</v>
      </c>
      <c r="D175">
        <v>100471</v>
      </c>
      <c r="E175" t="s">
        <v>166</v>
      </c>
      <c r="F175">
        <v>0</v>
      </c>
      <c r="G175">
        <v>0</v>
      </c>
      <c r="H175">
        <v>0</v>
      </c>
      <c r="I175">
        <v>0</v>
      </c>
      <c r="J175">
        <v>0</v>
      </c>
      <c r="K175" t="s">
        <v>109</v>
      </c>
      <c r="L175">
        <v>0</v>
      </c>
      <c r="M175">
        <v>0</v>
      </c>
      <c r="N175">
        <v>0</v>
      </c>
      <c r="O175">
        <v>0</v>
      </c>
    </row>
    <row r="176" spans="1:15" x14ac:dyDescent="0.35">
      <c r="A176" t="s">
        <v>213</v>
      </c>
      <c r="B176" t="s">
        <v>213</v>
      </c>
      <c r="C176" t="s">
        <v>214</v>
      </c>
      <c r="D176">
        <v>100471</v>
      </c>
      <c r="E176" t="s">
        <v>167</v>
      </c>
      <c r="F176">
        <v>0</v>
      </c>
      <c r="G176">
        <v>0</v>
      </c>
      <c r="H176">
        <v>0</v>
      </c>
      <c r="I176">
        <v>0</v>
      </c>
      <c r="J176">
        <v>0</v>
      </c>
      <c r="K176" t="s">
        <v>109</v>
      </c>
      <c r="L176">
        <v>0</v>
      </c>
      <c r="M176">
        <v>0</v>
      </c>
      <c r="N176">
        <v>0</v>
      </c>
      <c r="O176">
        <v>0</v>
      </c>
    </row>
    <row r="177" spans="1:15" x14ac:dyDescent="0.35">
      <c r="A177" t="s">
        <v>213</v>
      </c>
      <c r="B177" t="s">
        <v>213</v>
      </c>
      <c r="C177" t="s">
        <v>214</v>
      </c>
      <c r="D177">
        <v>100471</v>
      </c>
      <c r="E177" t="s">
        <v>168</v>
      </c>
      <c r="F177">
        <v>0</v>
      </c>
      <c r="G177">
        <v>0</v>
      </c>
      <c r="H177">
        <v>0</v>
      </c>
      <c r="I177">
        <v>0</v>
      </c>
      <c r="J177">
        <v>0</v>
      </c>
      <c r="K177" t="s">
        <v>109</v>
      </c>
      <c r="L177">
        <v>0</v>
      </c>
      <c r="M177">
        <v>0</v>
      </c>
      <c r="N177">
        <v>0</v>
      </c>
      <c r="O177">
        <v>0</v>
      </c>
    </row>
    <row r="178" spans="1:15" x14ac:dyDescent="0.35">
      <c r="A178" t="s">
        <v>213</v>
      </c>
      <c r="B178" t="s">
        <v>213</v>
      </c>
      <c r="C178" t="s">
        <v>214</v>
      </c>
      <c r="D178">
        <v>100471</v>
      </c>
      <c r="E178" t="s">
        <v>169</v>
      </c>
      <c r="F178">
        <v>0</v>
      </c>
      <c r="G178">
        <v>0</v>
      </c>
      <c r="H178">
        <v>0</v>
      </c>
      <c r="I178">
        <v>0</v>
      </c>
      <c r="J178">
        <v>0</v>
      </c>
      <c r="K178" t="s">
        <v>109</v>
      </c>
      <c r="L178">
        <v>0</v>
      </c>
      <c r="M178">
        <v>0</v>
      </c>
      <c r="N178">
        <v>0</v>
      </c>
      <c r="O178">
        <v>0</v>
      </c>
    </row>
    <row r="179" spans="1:15" x14ac:dyDescent="0.35">
      <c r="A179" t="s">
        <v>213</v>
      </c>
      <c r="B179" t="s">
        <v>213</v>
      </c>
      <c r="C179" t="s">
        <v>214</v>
      </c>
      <c r="D179">
        <v>100471</v>
      </c>
      <c r="E179" t="s">
        <v>170</v>
      </c>
      <c r="F179">
        <v>0</v>
      </c>
      <c r="G179">
        <v>0</v>
      </c>
      <c r="H179">
        <v>0</v>
      </c>
      <c r="I179">
        <v>0</v>
      </c>
      <c r="J179">
        <v>0</v>
      </c>
      <c r="K179" t="s">
        <v>109</v>
      </c>
      <c r="L179">
        <v>0</v>
      </c>
      <c r="M179">
        <v>0</v>
      </c>
      <c r="N179">
        <v>0</v>
      </c>
      <c r="O179">
        <v>0</v>
      </c>
    </row>
    <row r="180" spans="1:15" x14ac:dyDescent="0.35">
      <c r="A180" t="s">
        <v>213</v>
      </c>
      <c r="B180" t="s">
        <v>213</v>
      </c>
      <c r="C180" t="s">
        <v>214</v>
      </c>
      <c r="D180">
        <v>100471</v>
      </c>
      <c r="E180" t="s">
        <v>171</v>
      </c>
      <c r="F180">
        <v>0</v>
      </c>
      <c r="G180">
        <v>0</v>
      </c>
      <c r="H180">
        <v>0</v>
      </c>
      <c r="I180">
        <v>0</v>
      </c>
      <c r="J180">
        <v>0</v>
      </c>
      <c r="K180" t="s">
        <v>109</v>
      </c>
      <c r="L180">
        <v>0</v>
      </c>
      <c r="M180">
        <v>0</v>
      </c>
      <c r="N180">
        <v>0</v>
      </c>
      <c r="O180">
        <v>0</v>
      </c>
    </row>
    <row r="181" spans="1:15" x14ac:dyDescent="0.35">
      <c r="A181" t="s">
        <v>213</v>
      </c>
      <c r="B181" t="s">
        <v>213</v>
      </c>
      <c r="C181" t="s">
        <v>214</v>
      </c>
      <c r="D181">
        <v>100471</v>
      </c>
      <c r="E181" t="s">
        <v>172</v>
      </c>
      <c r="F181">
        <v>0</v>
      </c>
      <c r="G181">
        <v>0</v>
      </c>
      <c r="H181">
        <v>0</v>
      </c>
      <c r="I181">
        <v>0</v>
      </c>
      <c r="J181">
        <v>0</v>
      </c>
      <c r="K181" t="s">
        <v>109</v>
      </c>
      <c r="L181">
        <v>0</v>
      </c>
      <c r="M181">
        <v>0</v>
      </c>
      <c r="N181">
        <v>0</v>
      </c>
      <c r="O181">
        <v>0</v>
      </c>
    </row>
    <row r="182" spans="1:15" x14ac:dyDescent="0.35">
      <c r="A182" t="s">
        <v>213</v>
      </c>
      <c r="B182" t="s">
        <v>213</v>
      </c>
      <c r="C182" t="s">
        <v>214</v>
      </c>
      <c r="D182">
        <v>100471</v>
      </c>
      <c r="E182" t="s">
        <v>173</v>
      </c>
      <c r="F182">
        <v>0</v>
      </c>
      <c r="G182">
        <v>0</v>
      </c>
      <c r="H182">
        <v>0</v>
      </c>
      <c r="I182">
        <v>0</v>
      </c>
      <c r="J182">
        <v>0</v>
      </c>
      <c r="K182" t="s">
        <v>109</v>
      </c>
      <c r="L182">
        <v>0</v>
      </c>
      <c r="M182">
        <v>0</v>
      </c>
      <c r="N182">
        <v>0</v>
      </c>
      <c r="O182">
        <v>0</v>
      </c>
    </row>
    <row r="183" spans="1:15" x14ac:dyDescent="0.35">
      <c r="A183" t="s">
        <v>213</v>
      </c>
      <c r="B183" t="s">
        <v>213</v>
      </c>
      <c r="C183" t="s">
        <v>214</v>
      </c>
      <c r="D183">
        <v>100471</v>
      </c>
      <c r="E183" t="s">
        <v>174</v>
      </c>
      <c r="F183">
        <v>0</v>
      </c>
      <c r="G183">
        <v>0</v>
      </c>
      <c r="H183">
        <v>0</v>
      </c>
      <c r="I183">
        <v>0</v>
      </c>
      <c r="J183">
        <v>0</v>
      </c>
      <c r="K183" t="s">
        <v>109</v>
      </c>
      <c r="L183">
        <v>0</v>
      </c>
      <c r="M183">
        <v>0</v>
      </c>
      <c r="N183">
        <v>0</v>
      </c>
      <c r="O183">
        <v>0</v>
      </c>
    </row>
    <row r="184" spans="1:15" x14ac:dyDescent="0.35">
      <c r="A184" t="s">
        <v>213</v>
      </c>
      <c r="B184" t="s">
        <v>213</v>
      </c>
      <c r="C184" t="s">
        <v>214</v>
      </c>
      <c r="D184">
        <v>100471</v>
      </c>
      <c r="E184" t="s">
        <v>175</v>
      </c>
      <c r="F184">
        <v>0</v>
      </c>
      <c r="G184">
        <v>0</v>
      </c>
      <c r="H184">
        <v>0</v>
      </c>
      <c r="I184">
        <v>0</v>
      </c>
      <c r="J184">
        <v>0</v>
      </c>
      <c r="K184" t="s">
        <v>109</v>
      </c>
      <c r="L184">
        <v>0</v>
      </c>
      <c r="M184">
        <v>0</v>
      </c>
      <c r="N184">
        <v>0</v>
      </c>
      <c r="O184">
        <v>0</v>
      </c>
    </row>
    <row r="185" spans="1:15" x14ac:dyDescent="0.35">
      <c r="A185" t="s">
        <v>213</v>
      </c>
      <c r="B185" t="s">
        <v>213</v>
      </c>
      <c r="C185" t="s">
        <v>214</v>
      </c>
      <c r="D185">
        <v>100471</v>
      </c>
      <c r="E185" t="s">
        <v>176</v>
      </c>
      <c r="F185">
        <v>0</v>
      </c>
      <c r="G185">
        <v>0</v>
      </c>
      <c r="H185">
        <v>0</v>
      </c>
      <c r="I185">
        <v>0</v>
      </c>
      <c r="J185">
        <v>0</v>
      </c>
      <c r="K185" t="s">
        <v>109</v>
      </c>
      <c r="L185">
        <v>0</v>
      </c>
      <c r="M185">
        <v>0</v>
      </c>
      <c r="N185">
        <v>0</v>
      </c>
      <c r="O185">
        <v>0</v>
      </c>
    </row>
    <row r="186" spans="1:15" x14ac:dyDescent="0.35">
      <c r="A186" t="s">
        <v>213</v>
      </c>
      <c r="B186" t="s">
        <v>213</v>
      </c>
      <c r="C186" t="s">
        <v>214</v>
      </c>
      <c r="D186">
        <v>100471</v>
      </c>
      <c r="E186" t="s">
        <v>177</v>
      </c>
      <c r="F186">
        <v>0</v>
      </c>
      <c r="G186">
        <v>0</v>
      </c>
      <c r="H186">
        <v>0</v>
      </c>
      <c r="I186">
        <v>0</v>
      </c>
      <c r="J186">
        <v>0</v>
      </c>
      <c r="K186" t="s">
        <v>109</v>
      </c>
      <c r="L186">
        <v>0</v>
      </c>
      <c r="M186">
        <v>0</v>
      </c>
      <c r="N186">
        <v>0</v>
      </c>
      <c r="O186">
        <v>0</v>
      </c>
    </row>
    <row r="187" spans="1:15" x14ac:dyDescent="0.35">
      <c r="A187" t="s">
        <v>213</v>
      </c>
      <c r="B187" t="s">
        <v>213</v>
      </c>
      <c r="C187" t="s">
        <v>214</v>
      </c>
      <c r="D187">
        <v>100471</v>
      </c>
      <c r="E187" t="s">
        <v>178</v>
      </c>
      <c r="F187">
        <v>0</v>
      </c>
      <c r="G187">
        <v>0</v>
      </c>
      <c r="H187">
        <v>0</v>
      </c>
      <c r="I187">
        <v>0</v>
      </c>
      <c r="J187">
        <v>0</v>
      </c>
      <c r="K187" t="s">
        <v>109</v>
      </c>
      <c r="L187">
        <v>0</v>
      </c>
      <c r="M187">
        <v>0</v>
      </c>
      <c r="N187">
        <v>0</v>
      </c>
      <c r="O187">
        <v>0</v>
      </c>
    </row>
    <row r="188" spans="1:15" x14ac:dyDescent="0.35">
      <c r="A188" t="s">
        <v>213</v>
      </c>
      <c r="B188" t="s">
        <v>213</v>
      </c>
      <c r="C188" t="s">
        <v>214</v>
      </c>
      <c r="D188">
        <v>100471</v>
      </c>
      <c r="E188" t="s">
        <v>179</v>
      </c>
      <c r="F188">
        <v>0</v>
      </c>
      <c r="G188">
        <v>0</v>
      </c>
      <c r="H188">
        <v>0</v>
      </c>
      <c r="I188">
        <v>0</v>
      </c>
      <c r="J188">
        <v>0</v>
      </c>
      <c r="K188" t="s">
        <v>109</v>
      </c>
      <c r="L188">
        <v>0</v>
      </c>
      <c r="M188">
        <v>0</v>
      </c>
      <c r="N188">
        <v>0</v>
      </c>
      <c r="O188">
        <v>0</v>
      </c>
    </row>
    <row r="189" spans="1:15" x14ac:dyDescent="0.35">
      <c r="A189" t="s">
        <v>213</v>
      </c>
      <c r="B189" t="s">
        <v>213</v>
      </c>
      <c r="C189" t="s">
        <v>214</v>
      </c>
      <c r="D189">
        <v>100471</v>
      </c>
      <c r="E189" t="s">
        <v>180</v>
      </c>
      <c r="F189">
        <v>0</v>
      </c>
      <c r="G189">
        <v>0</v>
      </c>
      <c r="H189">
        <v>0</v>
      </c>
      <c r="I189">
        <v>0</v>
      </c>
      <c r="J189">
        <v>0</v>
      </c>
      <c r="K189" t="s">
        <v>109</v>
      </c>
      <c r="L189">
        <v>0</v>
      </c>
      <c r="M189">
        <v>0</v>
      </c>
      <c r="N189">
        <v>0</v>
      </c>
      <c r="O189">
        <v>0</v>
      </c>
    </row>
    <row r="190" spans="1:15" x14ac:dyDescent="0.35">
      <c r="A190" t="s">
        <v>213</v>
      </c>
      <c r="B190" t="s">
        <v>213</v>
      </c>
      <c r="C190" t="s">
        <v>214</v>
      </c>
      <c r="D190">
        <v>100471</v>
      </c>
      <c r="E190" t="s">
        <v>181</v>
      </c>
      <c r="F190">
        <v>0</v>
      </c>
      <c r="G190">
        <v>0</v>
      </c>
      <c r="H190">
        <v>0</v>
      </c>
      <c r="I190">
        <v>0</v>
      </c>
      <c r="J190">
        <v>0</v>
      </c>
      <c r="K190" t="s">
        <v>109</v>
      </c>
      <c r="L190">
        <v>0</v>
      </c>
      <c r="M190">
        <v>0</v>
      </c>
      <c r="N190">
        <v>0</v>
      </c>
      <c r="O190">
        <v>0</v>
      </c>
    </row>
    <row r="191" spans="1:15" x14ac:dyDescent="0.35">
      <c r="A191" t="s">
        <v>213</v>
      </c>
      <c r="B191" t="s">
        <v>213</v>
      </c>
      <c r="C191" t="s">
        <v>214</v>
      </c>
      <c r="D191">
        <v>100471</v>
      </c>
      <c r="E191" t="s">
        <v>182</v>
      </c>
      <c r="F191">
        <v>0</v>
      </c>
      <c r="G191">
        <v>0</v>
      </c>
      <c r="H191">
        <v>0</v>
      </c>
      <c r="I191">
        <v>0</v>
      </c>
      <c r="J191">
        <v>0</v>
      </c>
      <c r="K191" t="s">
        <v>109</v>
      </c>
      <c r="L191">
        <v>0</v>
      </c>
      <c r="M191">
        <v>0</v>
      </c>
      <c r="N191">
        <v>0</v>
      </c>
      <c r="O191">
        <v>0</v>
      </c>
    </row>
    <row r="192" spans="1:15" x14ac:dyDescent="0.35">
      <c r="A192" t="s">
        <v>213</v>
      </c>
      <c r="B192" t="s">
        <v>213</v>
      </c>
      <c r="C192" t="s">
        <v>214</v>
      </c>
      <c r="D192">
        <v>100471</v>
      </c>
      <c r="E192" t="s">
        <v>183</v>
      </c>
      <c r="F192">
        <v>0</v>
      </c>
      <c r="G192">
        <v>0</v>
      </c>
      <c r="H192">
        <v>0</v>
      </c>
      <c r="I192">
        <v>0</v>
      </c>
      <c r="J192">
        <v>0</v>
      </c>
      <c r="K192" t="s">
        <v>109</v>
      </c>
      <c r="L192">
        <v>0</v>
      </c>
      <c r="M192">
        <v>0</v>
      </c>
      <c r="N192">
        <v>0</v>
      </c>
      <c r="O192">
        <v>0</v>
      </c>
    </row>
    <row r="193" spans="1:15" x14ac:dyDescent="0.35">
      <c r="A193" t="s">
        <v>213</v>
      </c>
      <c r="B193" t="s">
        <v>213</v>
      </c>
      <c r="C193" t="s">
        <v>214</v>
      </c>
      <c r="D193">
        <v>100471</v>
      </c>
      <c r="E193" t="s">
        <v>184</v>
      </c>
      <c r="F193">
        <v>0</v>
      </c>
      <c r="G193">
        <v>0</v>
      </c>
      <c r="H193">
        <v>0</v>
      </c>
      <c r="I193">
        <v>0</v>
      </c>
      <c r="J193">
        <v>0</v>
      </c>
      <c r="K193" t="s">
        <v>109</v>
      </c>
      <c r="L193">
        <v>0</v>
      </c>
      <c r="M193">
        <v>0</v>
      </c>
      <c r="N193">
        <v>0</v>
      </c>
      <c r="O193">
        <v>0</v>
      </c>
    </row>
    <row r="194" spans="1:15" x14ac:dyDescent="0.35">
      <c r="A194" t="s">
        <v>213</v>
      </c>
      <c r="B194" t="s">
        <v>213</v>
      </c>
      <c r="C194" t="s">
        <v>214</v>
      </c>
      <c r="D194">
        <v>100471</v>
      </c>
      <c r="E194" t="s">
        <v>185</v>
      </c>
      <c r="F194">
        <v>0</v>
      </c>
      <c r="G194">
        <v>0</v>
      </c>
      <c r="H194">
        <v>0</v>
      </c>
      <c r="I194">
        <v>0</v>
      </c>
      <c r="J194">
        <v>0</v>
      </c>
      <c r="K194" t="s">
        <v>109</v>
      </c>
      <c r="L194">
        <v>0</v>
      </c>
      <c r="M194">
        <v>0</v>
      </c>
      <c r="N194">
        <v>0</v>
      </c>
      <c r="O194">
        <v>0</v>
      </c>
    </row>
    <row r="195" spans="1:15" x14ac:dyDescent="0.35">
      <c r="A195" t="s">
        <v>213</v>
      </c>
      <c r="B195" t="s">
        <v>213</v>
      </c>
      <c r="C195" t="s">
        <v>214</v>
      </c>
      <c r="D195">
        <v>100471</v>
      </c>
      <c r="E195" t="s">
        <v>186</v>
      </c>
      <c r="F195">
        <v>0</v>
      </c>
      <c r="G195">
        <v>0</v>
      </c>
      <c r="H195">
        <v>0</v>
      </c>
      <c r="I195">
        <v>0</v>
      </c>
      <c r="J195">
        <v>0</v>
      </c>
      <c r="K195" t="s">
        <v>109</v>
      </c>
      <c r="L195">
        <v>0</v>
      </c>
      <c r="M195">
        <v>0</v>
      </c>
      <c r="N195">
        <v>0</v>
      </c>
      <c r="O195">
        <v>0</v>
      </c>
    </row>
    <row r="196" spans="1:15" x14ac:dyDescent="0.35">
      <c r="A196" t="s">
        <v>213</v>
      </c>
      <c r="B196" t="s">
        <v>213</v>
      </c>
      <c r="C196" t="s">
        <v>214</v>
      </c>
      <c r="D196">
        <v>100471</v>
      </c>
      <c r="E196" t="s">
        <v>187</v>
      </c>
      <c r="F196">
        <v>0</v>
      </c>
      <c r="G196">
        <v>0</v>
      </c>
      <c r="H196">
        <v>0</v>
      </c>
      <c r="I196">
        <v>0</v>
      </c>
      <c r="J196">
        <v>0</v>
      </c>
      <c r="K196" t="s">
        <v>109</v>
      </c>
      <c r="L196">
        <v>0</v>
      </c>
      <c r="M196">
        <v>0</v>
      </c>
      <c r="N196">
        <v>0</v>
      </c>
      <c r="O196">
        <v>0</v>
      </c>
    </row>
    <row r="197" spans="1:15" x14ac:dyDescent="0.35">
      <c r="A197" t="s">
        <v>213</v>
      </c>
      <c r="B197" t="s">
        <v>213</v>
      </c>
      <c r="C197" t="s">
        <v>214</v>
      </c>
      <c r="D197">
        <v>100471</v>
      </c>
      <c r="E197" t="s">
        <v>188</v>
      </c>
      <c r="F197">
        <v>0</v>
      </c>
      <c r="G197">
        <v>0</v>
      </c>
      <c r="H197">
        <v>0</v>
      </c>
      <c r="I197">
        <v>0</v>
      </c>
      <c r="J197">
        <v>0</v>
      </c>
      <c r="K197" t="s">
        <v>109</v>
      </c>
      <c r="L197">
        <v>0</v>
      </c>
      <c r="M197">
        <v>0</v>
      </c>
      <c r="N197">
        <v>0</v>
      </c>
      <c r="O197">
        <v>0</v>
      </c>
    </row>
    <row r="198" spans="1:15" x14ac:dyDescent="0.35">
      <c r="A198" t="s">
        <v>213</v>
      </c>
      <c r="B198" t="s">
        <v>213</v>
      </c>
      <c r="C198" t="s">
        <v>214</v>
      </c>
      <c r="D198">
        <v>100471</v>
      </c>
      <c r="E198" t="s">
        <v>189</v>
      </c>
      <c r="F198">
        <v>0</v>
      </c>
      <c r="G198">
        <v>0</v>
      </c>
      <c r="H198">
        <v>0</v>
      </c>
      <c r="I198">
        <v>0</v>
      </c>
      <c r="J198">
        <v>0</v>
      </c>
      <c r="K198" t="s">
        <v>109</v>
      </c>
      <c r="L198">
        <v>0</v>
      </c>
      <c r="M198">
        <v>0</v>
      </c>
      <c r="N198">
        <v>0</v>
      </c>
      <c r="O198">
        <v>0</v>
      </c>
    </row>
    <row r="199" spans="1:15" x14ac:dyDescent="0.35">
      <c r="A199" t="s">
        <v>213</v>
      </c>
      <c r="B199" t="s">
        <v>213</v>
      </c>
      <c r="C199" t="s">
        <v>214</v>
      </c>
      <c r="D199">
        <v>100471</v>
      </c>
      <c r="E199" t="s">
        <v>190</v>
      </c>
      <c r="F199">
        <v>0</v>
      </c>
      <c r="G199">
        <v>0</v>
      </c>
      <c r="H199">
        <v>0</v>
      </c>
      <c r="I199">
        <v>0</v>
      </c>
      <c r="J199">
        <v>0</v>
      </c>
      <c r="K199" t="s">
        <v>109</v>
      </c>
      <c r="L199">
        <v>0</v>
      </c>
      <c r="M199">
        <v>0</v>
      </c>
      <c r="N199">
        <v>0</v>
      </c>
      <c r="O199">
        <v>0</v>
      </c>
    </row>
    <row r="200" spans="1:15" x14ac:dyDescent="0.35">
      <c r="A200" t="s">
        <v>213</v>
      </c>
      <c r="B200" t="s">
        <v>213</v>
      </c>
      <c r="C200" t="s">
        <v>214</v>
      </c>
      <c r="D200">
        <v>100471</v>
      </c>
      <c r="E200" t="s">
        <v>191</v>
      </c>
      <c r="F200">
        <v>0</v>
      </c>
      <c r="G200">
        <v>0</v>
      </c>
      <c r="H200">
        <v>0</v>
      </c>
      <c r="I200">
        <v>0</v>
      </c>
      <c r="J200">
        <v>0</v>
      </c>
      <c r="K200" t="s">
        <v>109</v>
      </c>
      <c r="L200">
        <v>0</v>
      </c>
      <c r="M200">
        <v>0</v>
      </c>
      <c r="N200">
        <v>0</v>
      </c>
      <c r="O200">
        <v>0</v>
      </c>
    </row>
    <row r="201" spans="1:15" x14ac:dyDescent="0.35">
      <c r="A201" t="s">
        <v>213</v>
      </c>
      <c r="B201" t="s">
        <v>213</v>
      </c>
      <c r="C201" t="s">
        <v>214</v>
      </c>
      <c r="D201">
        <v>100471</v>
      </c>
      <c r="E201" t="s">
        <v>192</v>
      </c>
      <c r="F201">
        <v>0</v>
      </c>
      <c r="G201">
        <v>0</v>
      </c>
      <c r="H201">
        <v>0</v>
      </c>
      <c r="I201">
        <v>0</v>
      </c>
      <c r="J201">
        <v>0</v>
      </c>
      <c r="K201" t="s">
        <v>109</v>
      </c>
      <c r="L201">
        <v>0</v>
      </c>
      <c r="M201">
        <v>0</v>
      </c>
      <c r="N201">
        <v>0</v>
      </c>
      <c r="O201">
        <v>0</v>
      </c>
    </row>
    <row r="202" spans="1:15" x14ac:dyDescent="0.35">
      <c r="A202" t="s">
        <v>213</v>
      </c>
      <c r="B202" t="s">
        <v>213</v>
      </c>
      <c r="C202" t="s">
        <v>214</v>
      </c>
      <c r="D202">
        <v>100471</v>
      </c>
      <c r="E202" t="s">
        <v>203</v>
      </c>
      <c r="F202">
        <v>0</v>
      </c>
      <c r="G202">
        <v>0</v>
      </c>
      <c r="H202">
        <v>0</v>
      </c>
      <c r="I202">
        <v>0</v>
      </c>
      <c r="J202">
        <v>0</v>
      </c>
      <c r="K202" t="s">
        <v>109</v>
      </c>
      <c r="L202">
        <v>0</v>
      </c>
      <c r="M202">
        <v>0</v>
      </c>
      <c r="N202">
        <v>0</v>
      </c>
      <c r="O202">
        <v>0</v>
      </c>
    </row>
    <row r="203" spans="1:15" x14ac:dyDescent="0.35">
      <c r="A203" t="s">
        <v>213</v>
      </c>
      <c r="B203" t="s">
        <v>213</v>
      </c>
      <c r="C203" t="s">
        <v>214</v>
      </c>
      <c r="D203">
        <v>100471</v>
      </c>
      <c r="E203" t="s">
        <v>204</v>
      </c>
      <c r="F203">
        <v>0</v>
      </c>
      <c r="G203">
        <v>0</v>
      </c>
      <c r="H203">
        <v>0</v>
      </c>
      <c r="I203">
        <v>0</v>
      </c>
      <c r="J203">
        <v>0</v>
      </c>
      <c r="K203" t="s">
        <v>109</v>
      </c>
      <c r="L203">
        <v>0</v>
      </c>
      <c r="M203">
        <v>0</v>
      </c>
      <c r="N203">
        <v>0</v>
      </c>
      <c r="O203">
        <v>0</v>
      </c>
    </row>
    <row r="204" spans="1:15" x14ac:dyDescent="0.35">
      <c r="A204" t="s">
        <v>213</v>
      </c>
      <c r="B204" t="s">
        <v>213</v>
      </c>
      <c r="C204" t="s">
        <v>214</v>
      </c>
      <c r="D204">
        <v>100471</v>
      </c>
      <c r="E204" t="s">
        <v>205</v>
      </c>
      <c r="F204">
        <v>0</v>
      </c>
      <c r="G204">
        <v>0</v>
      </c>
      <c r="H204">
        <v>0</v>
      </c>
      <c r="I204">
        <v>0</v>
      </c>
      <c r="J204">
        <v>0</v>
      </c>
      <c r="K204" t="s">
        <v>109</v>
      </c>
      <c r="L204">
        <v>0</v>
      </c>
      <c r="M204">
        <v>0</v>
      </c>
      <c r="N204">
        <v>0</v>
      </c>
      <c r="O204">
        <v>0</v>
      </c>
    </row>
    <row r="205" spans="1:15" x14ac:dyDescent="0.35">
      <c r="A205" t="s">
        <v>213</v>
      </c>
      <c r="B205" t="s">
        <v>213</v>
      </c>
      <c r="C205" t="s">
        <v>214</v>
      </c>
      <c r="D205">
        <v>100471</v>
      </c>
      <c r="E205" t="s">
        <v>206</v>
      </c>
      <c r="F205">
        <v>0</v>
      </c>
      <c r="G205">
        <v>0</v>
      </c>
      <c r="H205">
        <v>0</v>
      </c>
      <c r="I205">
        <v>0</v>
      </c>
      <c r="J205">
        <v>0</v>
      </c>
      <c r="K205" t="s">
        <v>109</v>
      </c>
      <c r="L205">
        <v>0</v>
      </c>
      <c r="M205">
        <v>0</v>
      </c>
      <c r="N205">
        <v>0</v>
      </c>
      <c r="O205">
        <v>0</v>
      </c>
    </row>
    <row r="206" spans="1:15" x14ac:dyDescent="0.35">
      <c r="A206" t="s">
        <v>213</v>
      </c>
      <c r="B206" t="s">
        <v>213</v>
      </c>
      <c r="C206" t="s">
        <v>214</v>
      </c>
      <c r="D206">
        <v>100471</v>
      </c>
      <c r="E206" t="s">
        <v>207</v>
      </c>
      <c r="F206">
        <v>0</v>
      </c>
      <c r="G206">
        <v>0</v>
      </c>
      <c r="H206">
        <v>0</v>
      </c>
      <c r="I206">
        <v>0</v>
      </c>
      <c r="J206">
        <v>0</v>
      </c>
      <c r="K206" t="s">
        <v>109</v>
      </c>
      <c r="L206">
        <v>0</v>
      </c>
      <c r="M206">
        <v>0</v>
      </c>
      <c r="N206">
        <v>0</v>
      </c>
      <c r="O206">
        <v>0</v>
      </c>
    </row>
    <row r="207" spans="1:15" x14ac:dyDescent="0.35">
      <c r="A207" t="s">
        <v>213</v>
      </c>
      <c r="B207" t="s">
        <v>213</v>
      </c>
      <c r="C207" t="s">
        <v>214</v>
      </c>
      <c r="D207">
        <v>100471</v>
      </c>
      <c r="E207" t="s">
        <v>208</v>
      </c>
      <c r="F207">
        <v>0</v>
      </c>
      <c r="G207">
        <v>0</v>
      </c>
      <c r="H207">
        <v>0</v>
      </c>
      <c r="I207">
        <v>0</v>
      </c>
      <c r="J207">
        <v>0</v>
      </c>
      <c r="K207" t="s">
        <v>109</v>
      </c>
      <c r="L207">
        <v>0</v>
      </c>
      <c r="M207">
        <v>0</v>
      </c>
      <c r="N207">
        <v>0</v>
      </c>
      <c r="O207">
        <v>0</v>
      </c>
    </row>
    <row r="208" spans="1:15" x14ac:dyDescent="0.35">
      <c r="A208" t="s">
        <v>213</v>
      </c>
      <c r="B208" t="s">
        <v>213</v>
      </c>
      <c r="C208" t="s">
        <v>214</v>
      </c>
      <c r="D208">
        <v>100471</v>
      </c>
      <c r="E208" t="s">
        <v>209</v>
      </c>
      <c r="F208">
        <v>0</v>
      </c>
      <c r="G208">
        <v>0</v>
      </c>
      <c r="H208">
        <v>0</v>
      </c>
      <c r="I208">
        <v>0</v>
      </c>
      <c r="J208">
        <v>0</v>
      </c>
      <c r="K208" t="s">
        <v>109</v>
      </c>
      <c r="L208">
        <v>0</v>
      </c>
      <c r="M208">
        <v>0</v>
      </c>
      <c r="N208">
        <v>0</v>
      </c>
      <c r="O208">
        <v>0</v>
      </c>
    </row>
    <row r="209" spans="1:15" x14ac:dyDescent="0.35">
      <c r="A209" t="s">
        <v>213</v>
      </c>
      <c r="B209" t="s">
        <v>213</v>
      </c>
      <c r="C209" t="s">
        <v>214</v>
      </c>
      <c r="D209">
        <v>100471</v>
      </c>
      <c r="E209" t="s">
        <v>210</v>
      </c>
      <c r="F209">
        <v>0</v>
      </c>
      <c r="G209">
        <v>0</v>
      </c>
      <c r="H209">
        <v>0</v>
      </c>
      <c r="I209">
        <v>0</v>
      </c>
      <c r="J209">
        <v>0</v>
      </c>
      <c r="K209" t="s">
        <v>109</v>
      </c>
      <c r="L209">
        <v>0</v>
      </c>
      <c r="M209">
        <v>0</v>
      </c>
      <c r="N209">
        <v>0</v>
      </c>
      <c r="O209">
        <v>0</v>
      </c>
    </row>
    <row r="210" spans="1:15" x14ac:dyDescent="0.35">
      <c r="A210" t="s">
        <v>213</v>
      </c>
      <c r="B210" t="s">
        <v>213</v>
      </c>
      <c r="C210" t="s">
        <v>214</v>
      </c>
      <c r="D210">
        <v>100471</v>
      </c>
      <c r="E210" t="s">
        <v>211</v>
      </c>
      <c r="F210">
        <v>0</v>
      </c>
      <c r="G210">
        <v>0</v>
      </c>
      <c r="H210">
        <v>0</v>
      </c>
      <c r="I210">
        <v>0</v>
      </c>
      <c r="J210">
        <v>0</v>
      </c>
      <c r="K210" t="s">
        <v>109</v>
      </c>
      <c r="L210">
        <v>0</v>
      </c>
      <c r="M210">
        <v>0</v>
      </c>
      <c r="N210">
        <v>0</v>
      </c>
      <c r="O210">
        <v>0</v>
      </c>
    </row>
    <row r="211" spans="1:15" x14ac:dyDescent="0.35">
      <c r="A211" t="s">
        <v>213</v>
      </c>
      <c r="B211" t="s">
        <v>213</v>
      </c>
      <c r="C211" t="s">
        <v>214</v>
      </c>
      <c r="D211">
        <v>100471</v>
      </c>
      <c r="E211" t="s">
        <v>212</v>
      </c>
      <c r="F211">
        <v>0</v>
      </c>
      <c r="G211">
        <v>0</v>
      </c>
      <c r="H211">
        <v>0</v>
      </c>
      <c r="I211">
        <v>0</v>
      </c>
      <c r="J211">
        <v>0</v>
      </c>
      <c r="K211" t="s">
        <v>109</v>
      </c>
      <c r="L211">
        <v>0</v>
      </c>
      <c r="M211">
        <v>0</v>
      </c>
      <c r="N211">
        <v>0</v>
      </c>
      <c r="O211">
        <v>0</v>
      </c>
    </row>
    <row r="212" spans="1:15" x14ac:dyDescent="0.35">
      <c r="A212" t="s">
        <v>223</v>
      </c>
      <c r="B212" t="s">
        <v>223</v>
      </c>
      <c r="C212" t="s">
        <v>223</v>
      </c>
      <c r="D212">
        <v>0</v>
      </c>
      <c r="F212">
        <v>0</v>
      </c>
      <c r="G212">
        <v>0</v>
      </c>
      <c r="H212">
        <v>6.5819444444444404</v>
      </c>
      <c r="I212">
        <v>0</v>
      </c>
      <c r="J212">
        <v>0</v>
      </c>
      <c r="K212" t="s">
        <v>109</v>
      </c>
      <c r="L212">
        <v>0</v>
      </c>
      <c r="M212">
        <v>0</v>
      </c>
      <c r="N212">
        <v>0</v>
      </c>
      <c r="O212">
        <v>-6.5819444444444404</v>
      </c>
    </row>
    <row r="213" spans="1:15" x14ac:dyDescent="0.35">
      <c r="A213" t="s">
        <v>93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/>
  <dimension ref="A1"/>
  <sheetViews>
    <sheetView topLeftCell="A129" workbookViewId="0">
      <selection sqref="A1:O1048576"/>
    </sheetView>
  </sheetViews>
  <sheetFormatPr defaultRowHeight="14.5" x14ac:dyDescent="0.35"/>
  <cols>
    <col min="1" max="1" width="80.7265625" bestFit="1" customWidth="1"/>
    <col min="2" max="2" width="14.7265625" bestFit="1" customWidth="1"/>
    <col min="3" max="3" width="27.26953125" bestFit="1" customWidth="1"/>
    <col min="4" max="4" width="14.6328125" bestFit="1" customWidth="1"/>
    <col min="5" max="5" width="33.81640625" bestFit="1" customWidth="1"/>
    <col min="6" max="6" width="10.7265625" bestFit="1" customWidth="1"/>
    <col min="7" max="7" width="13.7265625" bestFit="1" customWidth="1"/>
    <col min="8" max="10" width="11.81640625" bestFit="1" customWidth="1"/>
    <col min="11" max="11" width="8.81640625" bestFit="1" customWidth="1"/>
    <col min="12" max="12" width="8.36328125" bestFit="1" customWidth="1"/>
    <col min="13" max="13" width="11.81640625" bestFit="1" customWidth="1"/>
    <col min="14" max="14" width="13.36328125" bestFit="1" customWidth="1"/>
    <col min="15" max="15" width="15" bestFit="1" customWidth="1"/>
  </cols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9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  <col min="2" max="2" width="14.7265625" bestFit="1" customWidth="1"/>
    <col min="3" max="3" width="27.26953125" bestFit="1" customWidth="1"/>
    <col min="4" max="4" width="14.6328125" bestFit="1" customWidth="1"/>
    <col min="5" max="5" width="33.81640625" bestFit="1" customWidth="1"/>
    <col min="6" max="6" width="10.7265625" bestFit="1" customWidth="1"/>
    <col min="7" max="7" width="13.7265625" bestFit="1" customWidth="1"/>
    <col min="8" max="10" width="11.81640625" bestFit="1" customWidth="1"/>
    <col min="11" max="11" width="8.81640625" bestFit="1" customWidth="1"/>
    <col min="12" max="12" width="8.36328125" bestFit="1" customWidth="1"/>
    <col min="13" max="13" width="11.81640625" bestFit="1" customWidth="1"/>
    <col min="14" max="14" width="13.36328125" bestFit="1" customWidth="1"/>
    <col min="15" max="15" width="15" bestFit="1" customWidth="1"/>
  </cols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O213"/>
  <sheetViews>
    <sheetView topLeftCell="A116" workbookViewId="0">
      <selection activeCell="E216" sqref="E216"/>
    </sheetView>
  </sheetViews>
  <sheetFormatPr defaultRowHeight="14.5" x14ac:dyDescent="0.35"/>
  <cols>
    <col min="1" max="2" width="14.7265625" bestFit="1" customWidth="1"/>
    <col min="3" max="3" width="27.26953125" bestFit="1" customWidth="1"/>
    <col min="4" max="4" width="14.6328125" bestFit="1" customWidth="1"/>
    <col min="5" max="5" width="33.81640625" bestFit="1" customWidth="1"/>
    <col min="6" max="6" width="10.7265625" bestFit="1" customWidth="1"/>
    <col min="7" max="7" width="13.7265625" bestFit="1" customWidth="1"/>
    <col min="8" max="10" width="11.81640625" bestFit="1" customWidth="1"/>
    <col min="11" max="11" width="8.81640625" bestFit="1" customWidth="1"/>
    <col min="12" max="12" width="8.36328125" bestFit="1" customWidth="1"/>
    <col min="13" max="13" width="11.81640625" bestFit="1" customWidth="1"/>
    <col min="14" max="14" width="13.36328125" bestFit="1" customWidth="1"/>
    <col min="15" max="15" width="15" bestFit="1" customWidth="1"/>
  </cols>
  <sheetData>
    <row r="1" spans="1:15" x14ac:dyDescent="0.35">
      <c r="A1" t="s">
        <v>94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48</v>
      </c>
      <c r="I1" t="s">
        <v>101</v>
      </c>
      <c r="J1" t="s">
        <v>102</v>
      </c>
      <c r="K1" t="s">
        <v>103</v>
      </c>
      <c r="L1" t="s">
        <v>104</v>
      </c>
      <c r="M1" t="s">
        <v>105</v>
      </c>
      <c r="N1" t="s">
        <v>106</v>
      </c>
      <c r="O1" t="s">
        <v>107</v>
      </c>
    </row>
    <row r="2" spans="1:15" hidden="1" x14ac:dyDescent="0.35">
      <c r="A2" t="s">
        <v>108</v>
      </c>
      <c r="B2" t="s">
        <v>52</v>
      </c>
      <c r="C2" t="s">
        <v>60</v>
      </c>
      <c r="D2">
        <v>100405</v>
      </c>
      <c r="F2">
        <v>0</v>
      </c>
      <c r="G2">
        <v>0</v>
      </c>
      <c r="H2">
        <v>0</v>
      </c>
      <c r="I2">
        <v>0</v>
      </c>
      <c r="J2">
        <v>0</v>
      </c>
      <c r="K2" t="s">
        <v>109</v>
      </c>
      <c r="L2">
        <v>0</v>
      </c>
      <c r="M2">
        <v>0</v>
      </c>
      <c r="N2">
        <v>0</v>
      </c>
      <c r="O2">
        <v>0</v>
      </c>
    </row>
    <row r="3" spans="1:15" hidden="1" x14ac:dyDescent="0.35">
      <c r="A3" t="s">
        <v>108</v>
      </c>
      <c r="B3" t="s">
        <v>52</v>
      </c>
      <c r="C3" t="s">
        <v>61</v>
      </c>
      <c r="D3">
        <v>100400</v>
      </c>
      <c r="F3">
        <v>0</v>
      </c>
      <c r="G3">
        <v>0</v>
      </c>
      <c r="H3">
        <v>0</v>
      </c>
      <c r="I3">
        <v>0</v>
      </c>
      <c r="J3">
        <v>0</v>
      </c>
      <c r="K3" t="s">
        <v>109</v>
      </c>
      <c r="L3">
        <v>0</v>
      </c>
      <c r="M3">
        <v>0</v>
      </c>
      <c r="N3">
        <v>0</v>
      </c>
      <c r="O3">
        <v>0</v>
      </c>
    </row>
    <row r="4" spans="1:15" hidden="1" x14ac:dyDescent="0.35">
      <c r="A4" t="s">
        <v>108</v>
      </c>
      <c r="B4" t="s">
        <v>52</v>
      </c>
      <c r="C4" t="s">
        <v>7</v>
      </c>
      <c r="D4">
        <v>100020</v>
      </c>
      <c r="E4" t="s">
        <v>110</v>
      </c>
      <c r="F4">
        <v>0</v>
      </c>
      <c r="G4">
        <v>0</v>
      </c>
      <c r="H4">
        <v>0</v>
      </c>
      <c r="I4">
        <v>0</v>
      </c>
      <c r="J4">
        <v>0</v>
      </c>
      <c r="K4" t="s">
        <v>109</v>
      </c>
      <c r="L4">
        <v>0</v>
      </c>
      <c r="M4">
        <v>0</v>
      </c>
      <c r="N4">
        <v>0</v>
      </c>
      <c r="O4">
        <v>0</v>
      </c>
    </row>
    <row r="5" spans="1:15" hidden="1" x14ac:dyDescent="0.35">
      <c r="A5" t="s">
        <v>108</v>
      </c>
      <c r="B5" t="s">
        <v>52</v>
      </c>
      <c r="C5" t="s">
        <v>7</v>
      </c>
      <c r="D5">
        <v>100020</v>
      </c>
      <c r="E5" t="s">
        <v>111</v>
      </c>
      <c r="F5">
        <v>0</v>
      </c>
      <c r="G5">
        <v>0</v>
      </c>
      <c r="H5">
        <v>0</v>
      </c>
      <c r="I5">
        <v>0</v>
      </c>
      <c r="J5">
        <v>0</v>
      </c>
      <c r="K5" t="s">
        <v>109</v>
      </c>
      <c r="L5">
        <v>0</v>
      </c>
      <c r="M5">
        <v>0</v>
      </c>
      <c r="N5">
        <v>0</v>
      </c>
      <c r="O5">
        <v>0</v>
      </c>
    </row>
    <row r="6" spans="1:15" hidden="1" x14ac:dyDescent="0.35">
      <c r="A6" t="s">
        <v>108</v>
      </c>
      <c r="B6" t="s">
        <v>52</v>
      </c>
      <c r="C6" t="s">
        <v>7</v>
      </c>
      <c r="D6">
        <v>100020</v>
      </c>
      <c r="E6" t="s">
        <v>112</v>
      </c>
      <c r="F6">
        <v>0</v>
      </c>
      <c r="G6">
        <v>0</v>
      </c>
      <c r="H6">
        <v>0</v>
      </c>
      <c r="I6">
        <v>0</v>
      </c>
      <c r="J6">
        <v>0</v>
      </c>
      <c r="K6" t="s">
        <v>109</v>
      </c>
      <c r="L6">
        <v>0</v>
      </c>
      <c r="M6">
        <v>0</v>
      </c>
      <c r="N6">
        <v>0</v>
      </c>
      <c r="O6">
        <v>0</v>
      </c>
    </row>
    <row r="7" spans="1:15" hidden="1" x14ac:dyDescent="0.35">
      <c r="A7" t="s">
        <v>108</v>
      </c>
      <c r="B7" t="s">
        <v>52</v>
      </c>
      <c r="C7" t="s">
        <v>7</v>
      </c>
      <c r="D7">
        <v>100020</v>
      </c>
      <c r="E7" t="s">
        <v>113</v>
      </c>
      <c r="F7">
        <v>0</v>
      </c>
      <c r="G7">
        <v>0</v>
      </c>
      <c r="H7">
        <v>0</v>
      </c>
      <c r="I7">
        <v>0</v>
      </c>
      <c r="J7">
        <v>0</v>
      </c>
      <c r="K7" t="s">
        <v>109</v>
      </c>
      <c r="L7">
        <v>0</v>
      </c>
      <c r="M7">
        <v>0</v>
      </c>
      <c r="N7">
        <v>0</v>
      </c>
      <c r="O7">
        <v>0</v>
      </c>
    </row>
    <row r="8" spans="1:15" hidden="1" x14ac:dyDescent="0.35">
      <c r="A8" t="s">
        <v>108</v>
      </c>
      <c r="B8" t="s">
        <v>52</v>
      </c>
      <c r="C8" t="s">
        <v>7</v>
      </c>
      <c r="D8">
        <v>100020</v>
      </c>
      <c r="E8" t="s">
        <v>114</v>
      </c>
      <c r="F8">
        <v>0</v>
      </c>
      <c r="G8">
        <v>0</v>
      </c>
      <c r="H8">
        <v>0</v>
      </c>
      <c r="I8">
        <v>0</v>
      </c>
      <c r="J8">
        <v>0</v>
      </c>
      <c r="K8" t="s">
        <v>109</v>
      </c>
      <c r="L8">
        <v>0</v>
      </c>
      <c r="M8">
        <v>0</v>
      </c>
      <c r="N8">
        <v>0</v>
      </c>
      <c r="O8">
        <v>0</v>
      </c>
    </row>
    <row r="9" spans="1:15" hidden="1" x14ac:dyDescent="0.35">
      <c r="A9" t="s">
        <v>108</v>
      </c>
      <c r="B9" t="s">
        <v>52</v>
      </c>
      <c r="C9" t="s">
        <v>7</v>
      </c>
      <c r="D9">
        <v>100020</v>
      </c>
      <c r="E9" t="s">
        <v>115</v>
      </c>
      <c r="F9">
        <v>0</v>
      </c>
      <c r="G9">
        <v>0</v>
      </c>
      <c r="H9">
        <v>0</v>
      </c>
      <c r="I9">
        <v>0</v>
      </c>
      <c r="J9">
        <v>0</v>
      </c>
      <c r="K9" t="s">
        <v>109</v>
      </c>
      <c r="L9">
        <v>0</v>
      </c>
      <c r="M9">
        <v>0</v>
      </c>
      <c r="N9">
        <v>0</v>
      </c>
      <c r="O9">
        <v>0</v>
      </c>
    </row>
    <row r="10" spans="1:15" hidden="1" x14ac:dyDescent="0.35">
      <c r="A10" t="s">
        <v>108</v>
      </c>
      <c r="B10" t="s">
        <v>52</v>
      </c>
      <c r="C10" t="s">
        <v>7</v>
      </c>
      <c r="D10">
        <v>100020</v>
      </c>
      <c r="E10" t="s">
        <v>116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109</v>
      </c>
      <c r="L10">
        <v>0</v>
      </c>
      <c r="M10">
        <v>0</v>
      </c>
      <c r="N10">
        <v>0</v>
      </c>
      <c r="O10">
        <v>0</v>
      </c>
    </row>
    <row r="11" spans="1:15" hidden="1" x14ac:dyDescent="0.35">
      <c r="A11" t="s">
        <v>108</v>
      </c>
      <c r="B11" t="s">
        <v>52</v>
      </c>
      <c r="C11" t="s">
        <v>7</v>
      </c>
      <c r="D11">
        <v>100020</v>
      </c>
      <c r="E11" t="s">
        <v>117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109</v>
      </c>
      <c r="L11">
        <v>0</v>
      </c>
      <c r="M11">
        <v>0</v>
      </c>
      <c r="N11">
        <v>0</v>
      </c>
      <c r="O11">
        <v>0</v>
      </c>
    </row>
    <row r="12" spans="1:15" hidden="1" x14ac:dyDescent="0.35">
      <c r="A12" t="s">
        <v>108</v>
      </c>
      <c r="B12" t="s">
        <v>52</v>
      </c>
      <c r="C12" t="s">
        <v>7</v>
      </c>
      <c r="D12">
        <v>100020</v>
      </c>
      <c r="E12" t="s">
        <v>118</v>
      </c>
      <c r="F12">
        <v>0</v>
      </c>
      <c r="G12">
        <v>0</v>
      </c>
      <c r="H12">
        <v>0</v>
      </c>
      <c r="I12">
        <v>0</v>
      </c>
      <c r="J12">
        <v>0</v>
      </c>
      <c r="K12" t="s">
        <v>109</v>
      </c>
      <c r="L12">
        <v>0</v>
      </c>
      <c r="M12">
        <v>0</v>
      </c>
      <c r="N12">
        <v>0</v>
      </c>
      <c r="O12">
        <v>0</v>
      </c>
    </row>
    <row r="13" spans="1:15" hidden="1" x14ac:dyDescent="0.35">
      <c r="A13" t="s">
        <v>108</v>
      </c>
      <c r="B13" t="s">
        <v>52</v>
      </c>
      <c r="C13" t="s">
        <v>7</v>
      </c>
      <c r="D13">
        <v>100020</v>
      </c>
      <c r="E13" t="s">
        <v>119</v>
      </c>
      <c r="F13">
        <v>0</v>
      </c>
      <c r="G13">
        <v>0</v>
      </c>
      <c r="H13">
        <v>0</v>
      </c>
      <c r="I13">
        <v>0</v>
      </c>
      <c r="J13">
        <v>0</v>
      </c>
      <c r="K13" t="s">
        <v>109</v>
      </c>
      <c r="L13">
        <v>0</v>
      </c>
      <c r="M13">
        <v>0</v>
      </c>
      <c r="N13">
        <v>0</v>
      </c>
      <c r="O13">
        <v>0</v>
      </c>
    </row>
    <row r="14" spans="1:15" hidden="1" x14ac:dyDescent="0.35">
      <c r="A14" t="s">
        <v>108</v>
      </c>
      <c r="B14" t="s">
        <v>52</v>
      </c>
      <c r="C14" t="s">
        <v>7</v>
      </c>
      <c r="D14">
        <v>100020</v>
      </c>
      <c r="E14" t="s">
        <v>120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109</v>
      </c>
      <c r="L14">
        <v>0</v>
      </c>
      <c r="M14">
        <v>0</v>
      </c>
      <c r="N14">
        <v>0</v>
      </c>
      <c r="O14">
        <v>0</v>
      </c>
    </row>
    <row r="15" spans="1:15" hidden="1" x14ac:dyDescent="0.35">
      <c r="A15" t="s">
        <v>108</v>
      </c>
      <c r="B15" t="s">
        <v>52</v>
      </c>
      <c r="C15" t="s">
        <v>7</v>
      </c>
      <c r="D15">
        <v>100020</v>
      </c>
      <c r="E15" t="s">
        <v>121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109</v>
      </c>
      <c r="L15">
        <v>0</v>
      </c>
      <c r="M15">
        <v>0</v>
      </c>
      <c r="N15">
        <v>0</v>
      </c>
      <c r="O15">
        <v>0</v>
      </c>
    </row>
    <row r="16" spans="1:15" hidden="1" x14ac:dyDescent="0.35">
      <c r="A16" t="s">
        <v>108</v>
      </c>
      <c r="B16" t="s">
        <v>52</v>
      </c>
      <c r="C16" t="s">
        <v>7</v>
      </c>
      <c r="D16">
        <v>100020</v>
      </c>
      <c r="E16" t="s">
        <v>122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109</v>
      </c>
      <c r="L16">
        <v>0</v>
      </c>
      <c r="M16">
        <v>0</v>
      </c>
      <c r="N16">
        <v>0</v>
      </c>
      <c r="O16">
        <v>0</v>
      </c>
    </row>
    <row r="17" spans="1:15" hidden="1" x14ac:dyDescent="0.35">
      <c r="A17" t="s">
        <v>108</v>
      </c>
      <c r="B17" t="s">
        <v>52</v>
      </c>
      <c r="C17" t="s">
        <v>7</v>
      </c>
      <c r="D17">
        <v>100020</v>
      </c>
      <c r="E17" t="s">
        <v>123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109</v>
      </c>
      <c r="L17">
        <v>0</v>
      </c>
      <c r="M17">
        <v>0</v>
      </c>
      <c r="N17">
        <v>0</v>
      </c>
      <c r="O17">
        <v>0</v>
      </c>
    </row>
    <row r="18" spans="1:15" hidden="1" x14ac:dyDescent="0.35">
      <c r="A18" t="s">
        <v>108</v>
      </c>
      <c r="B18" t="s">
        <v>52</v>
      </c>
      <c r="C18" t="s">
        <v>7</v>
      </c>
      <c r="D18">
        <v>100020</v>
      </c>
      <c r="E18" t="s">
        <v>124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109</v>
      </c>
      <c r="L18">
        <v>0</v>
      </c>
      <c r="M18">
        <v>0</v>
      </c>
      <c r="N18">
        <v>0</v>
      </c>
      <c r="O18">
        <v>0</v>
      </c>
    </row>
    <row r="19" spans="1:15" hidden="1" x14ac:dyDescent="0.35">
      <c r="A19" t="s">
        <v>108</v>
      </c>
      <c r="B19" t="s">
        <v>52</v>
      </c>
      <c r="C19" t="s">
        <v>7</v>
      </c>
      <c r="D19">
        <v>100020</v>
      </c>
      <c r="E19" t="s">
        <v>125</v>
      </c>
      <c r="F19">
        <v>0</v>
      </c>
      <c r="G19">
        <v>0</v>
      </c>
      <c r="H19">
        <v>0</v>
      </c>
      <c r="I19">
        <v>0</v>
      </c>
      <c r="J19">
        <v>0</v>
      </c>
      <c r="K19" t="s">
        <v>109</v>
      </c>
      <c r="L19">
        <v>0</v>
      </c>
      <c r="M19">
        <v>0</v>
      </c>
      <c r="N19">
        <v>0</v>
      </c>
      <c r="O19">
        <v>0</v>
      </c>
    </row>
    <row r="20" spans="1:15" hidden="1" x14ac:dyDescent="0.35">
      <c r="A20" t="s">
        <v>108</v>
      </c>
      <c r="B20" t="s">
        <v>52</v>
      </c>
      <c r="C20" t="s">
        <v>7</v>
      </c>
      <c r="D20">
        <v>100020</v>
      </c>
      <c r="E20" t="s">
        <v>126</v>
      </c>
      <c r="F20">
        <v>0</v>
      </c>
      <c r="G20">
        <v>0</v>
      </c>
      <c r="H20">
        <v>0</v>
      </c>
      <c r="I20">
        <v>0</v>
      </c>
      <c r="J20">
        <v>0</v>
      </c>
      <c r="K20" t="s">
        <v>109</v>
      </c>
      <c r="L20">
        <v>0</v>
      </c>
      <c r="M20">
        <v>0</v>
      </c>
      <c r="N20">
        <v>0</v>
      </c>
      <c r="O20">
        <v>0</v>
      </c>
    </row>
    <row r="21" spans="1:15" hidden="1" x14ac:dyDescent="0.35">
      <c r="A21" t="s">
        <v>108</v>
      </c>
      <c r="B21" t="s">
        <v>52</v>
      </c>
      <c r="C21" t="s">
        <v>7</v>
      </c>
      <c r="D21">
        <v>100020</v>
      </c>
      <c r="E21" t="s">
        <v>127</v>
      </c>
      <c r="F21">
        <v>0</v>
      </c>
      <c r="G21">
        <v>0</v>
      </c>
      <c r="H21">
        <v>0</v>
      </c>
      <c r="I21">
        <v>0</v>
      </c>
      <c r="J21">
        <v>0</v>
      </c>
      <c r="K21" t="s">
        <v>109</v>
      </c>
      <c r="L21">
        <v>0</v>
      </c>
      <c r="M21">
        <v>0</v>
      </c>
      <c r="N21">
        <v>0</v>
      </c>
      <c r="O21">
        <v>0</v>
      </c>
    </row>
    <row r="22" spans="1:15" hidden="1" x14ac:dyDescent="0.35">
      <c r="A22" t="s">
        <v>108</v>
      </c>
      <c r="B22" t="s">
        <v>52</v>
      </c>
      <c r="C22" t="s">
        <v>7</v>
      </c>
      <c r="D22">
        <v>100020</v>
      </c>
      <c r="E22" t="s">
        <v>128</v>
      </c>
      <c r="F22">
        <v>0</v>
      </c>
      <c r="G22">
        <v>0</v>
      </c>
      <c r="H22">
        <v>0</v>
      </c>
      <c r="I22">
        <v>0</v>
      </c>
      <c r="J22">
        <v>0</v>
      </c>
      <c r="K22" t="s">
        <v>109</v>
      </c>
      <c r="L22">
        <v>0</v>
      </c>
      <c r="M22">
        <v>0</v>
      </c>
      <c r="N22">
        <v>0</v>
      </c>
      <c r="O22">
        <v>0</v>
      </c>
    </row>
    <row r="23" spans="1:15" hidden="1" x14ac:dyDescent="0.35">
      <c r="A23" t="s">
        <v>108</v>
      </c>
      <c r="B23" t="s">
        <v>52</v>
      </c>
      <c r="C23" t="s">
        <v>7</v>
      </c>
      <c r="D23">
        <v>100020</v>
      </c>
      <c r="E23" t="s">
        <v>129</v>
      </c>
      <c r="F23">
        <v>0</v>
      </c>
      <c r="G23">
        <v>0</v>
      </c>
      <c r="H23">
        <v>0</v>
      </c>
      <c r="I23">
        <v>0</v>
      </c>
      <c r="J23">
        <v>0</v>
      </c>
      <c r="K23" t="s">
        <v>109</v>
      </c>
      <c r="L23">
        <v>0</v>
      </c>
      <c r="M23">
        <v>0</v>
      </c>
      <c r="N23">
        <v>0</v>
      </c>
      <c r="O23">
        <v>0</v>
      </c>
    </row>
    <row r="24" spans="1:15" hidden="1" x14ac:dyDescent="0.35">
      <c r="A24" t="s">
        <v>108</v>
      </c>
      <c r="B24" t="s">
        <v>52</v>
      </c>
      <c r="C24" t="s">
        <v>7</v>
      </c>
      <c r="D24">
        <v>100020</v>
      </c>
      <c r="E24" t="s">
        <v>130</v>
      </c>
      <c r="F24">
        <v>0</v>
      </c>
      <c r="G24">
        <v>0</v>
      </c>
      <c r="H24">
        <v>0</v>
      </c>
      <c r="I24">
        <v>0</v>
      </c>
      <c r="J24">
        <v>0</v>
      </c>
      <c r="K24" t="s">
        <v>109</v>
      </c>
      <c r="L24">
        <v>0</v>
      </c>
      <c r="M24">
        <v>0</v>
      </c>
      <c r="N24">
        <v>0</v>
      </c>
      <c r="O24">
        <v>0</v>
      </c>
    </row>
    <row r="25" spans="1:15" hidden="1" x14ac:dyDescent="0.35">
      <c r="A25" t="s">
        <v>108</v>
      </c>
      <c r="B25" t="s">
        <v>52</v>
      </c>
      <c r="C25" t="s">
        <v>7</v>
      </c>
      <c r="D25">
        <v>100020</v>
      </c>
      <c r="E25" t="s">
        <v>131</v>
      </c>
      <c r="F25">
        <v>0</v>
      </c>
      <c r="G25">
        <v>0</v>
      </c>
      <c r="H25">
        <v>0</v>
      </c>
      <c r="I25">
        <v>0</v>
      </c>
      <c r="J25">
        <v>0</v>
      </c>
      <c r="K25" t="s">
        <v>109</v>
      </c>
      <c r="L25">
        <v>0</v>
      </c>
      <c r="M25">
        <v>0</v>
      </c>
      <c r="N25">
        <v>0</v>
      </c>
      <c r="O25">
        <v>0</v>
      </c>
    </row>
    <row r="26" spans="1:15" hidden="1" x14ac:dyDescent="0.35">
      <c r="A26" t="s">
        <v>108</v>
      </c>
      <c r="B26" t="s">
        <v>52</v>
      </c>
      <c r="C26" t="s">
        <v>20</v>
      </c>
      <c r="D26">
        <v>100404</v>
      </c>
      <c r="F26">
        <v>0</v>
      </c>
      <c r="G26">
        <v>0</v>
      </c>
      <c r="H26">
        <v>8.6111111111111097E-2</v>
      </c>
      <c r="I26">
        <v>0</v>
      </c>
      <c r="J26">
        <v>0</v>
      </c>
      <c r="K26" t="s">
        <v>109</v>
      </c>
      <c r="L26">
        <v>0</v>
      </c>
      <c r="M26">
        <v>0</v>
      </c>
      <c r="N26">
        <v>0</v>
      </c>
      <c r="O26">
        <v>-8.6111111111111097E-2</v>
      </c>
    </row>
    <row r="27" spans="1:15" hidden="1" x14ac:dyDescent="0.35">
      <c r="A27" t="s">
        <v>108</v>
      </c>
      <c r="B27" t="s">
        <v>52</v>
      </c>
      <c r="C27" t="s">
        <v>9</v>
      </c>
      <c r="D27">
        <v>100460</v>
      </c>
      <c r="F27">
        <v>0</v>
      </c>
      <c r="G27">
        <v>0</v>
      </c>
      <c r="H27">
        <v>8.66666666666666E-2</v>
      </c>
      <c r="I27">
        <v>0</v>
      </c>
      <c r="J27">
        <v>0</v>
      </c>
      <c r="K27" t="s">
        <v>109</v>
      </c>
      <c r="L27">
        <v>0</v>
      </c>
      <c r="M27">
        <v>0</v>
      </c>
      <c r="N27">
        <v>0</v>
      </c>
      <c r="O27">
        <v>-8.66666666666666E-2</v>
      </c>
    </row>
    <row r="28" spans="1:15" hidden="1" x14ac:dyDescent="0.35">
      <c r="A28" t="s">
        <v>108</v>
      </c>
      <c r="B28" t="s">
        <v>53</v>
      </c>
      <c r="C28" t="s">
        <v>1</v>
      </c>
      <c r="D28">
        <v>100440</v>
      </c>
      <c r="F28">
        <v>0</v>
      </c>
      <c r="G28">
        <v>0</v>
      </c>
      <c r="H28">
        <v>0</v>
      </c>
      <c r="I28">
        <v>0</v>
      </c>
      <c r="J28">
        <v>0</v>
      </c>
      <c r="K28" t="s">
        <v>109</v>
      </c>
      <c r="L28">
        <v>0</v>
      </c>
      <c r="M28">
        <v>0</v>
      </c>
      <c r="N28">
        <v>0</v>
      </c>
      <c r="O28">
        <v>0</v>
      </c>
    </row>
    <row r="29" spans="1:15" hidden="1" x14ac:dyDescent="0.35">
      <c r="A29" t="s">
        <v>108</v>
      </c>
      <c r="B29" t="s">
        <v>53</v>
      </c>
      <c r="C29" t="s">
        <v>27</v>
      </c>
      <c r="D29">
        <v>100021</v>
      </c>
      <c r="E29" t="s">
        <v>110</v>
      </c>
      <c r="F29">
        <v>0</v>
      </c>
      <c r="G29">
        <v>0</v>
      </c>
      <c r="H29">
        <v>0</v>
      </c>
      <c r="I29">
        <v>0</v>
      </c>
      <c r="J29">
        <v>0</v>
      </c>
      <c r="K29" t="s">
        <v>109</v>
      </c>
      <c r="L29">
        <v>0</v>
      </c>
      <c r="M29">
        <v>0</v>
      </c>
      <c r="N29">
        <v>0</v>
      </c>
      <c r="O29">
        <v>0</v>
      </c>
    </row>
    <row r="30" spans="1:15" hidden="1" x14ac:dyDescent="0.35">
      <c r="A30" t="s">
        <v>108</v>
      </c>
      <c r="B30" t="s">
        <v>53</v>
      </c>
      <c r="C30" t="s">
        <v>27</v>
      </c>
      <c r="D30">
        <v>100021</v>
      </c>
      <c r="E30" t="s">
        <v>111</v>
      </c>
      <c r="F30">
        <v>0</v>
      </c>
      <c r="G30">
        <v>0</v>
      </c>
      <c r="H30">
        <v>0</v>
      </c>
      <c r="I30">
        <v>0</v>
      </c>
      <c r="J30">
        <v>0</v>
      </c>
      <c r="K30" t="s">
        <v>109</v>
      </c>
      <c r="L30">
        <v>0</v>
      </c>
      <c r="M30">
        <v>0</v>
      </c>
      <c r="N30">
        <v>0</v>
      </c>
      <c r="O30">
        <v>0</v>
      </c>
    </row>
    <row r="31" spans="1:15" hidden="1" x14ac:dyDescent="0.35">
      <c r="A31" t="s">
        <v>108</v>
      </c>
      <c r="B31" t="s">
        <v>53</v>
      </c>
      <c r="C31" t="s">
        <v>27</v>
      </c>
      <c r="D31">
        <v>100021</v>
      </c>
      <c r="E31" t="s">
        <v>112</v>
      </c>
      <c r="F31">
        <v>0</v>
      </c>
      <c r="G31">
        <v>0</v>
      </c>
      <c r="H31">
        <v>0</v>
      </c>
      <c r="I31">
        <v>0</v>
      </c>
      <c r="J31">
        <v>0</v>
      </c>
      <c r="K31" t="s">
        <v>109</v>
      </c>
      <c r="L31">
        <v>0</v>
      </c>
      <c r="M31">
        <v>0</v>
      </c>
      <c r="N31">
        <v>0</v>
      </c>
      <c r="O31">
        <v>0</v>
      </c>
    </row>
    <row r="32" spans="1:15" hidden="1" x14ac:dyDescent="0.35">
      <c r="A32" t="s">
        <v>108</v>
      </c>
      <c r="B32" t="s">
        <v>53</v>
      </c>
      <c r="C32" t="s">
        <v>27</v>
      </c>
      <c r="D32">
        <v>100021</v>
      </c>
      <c r="E32" t="s">
        <v>113</v>
      </c>
      <c r="F32">
        <v>0</v>
      </c>
      <c r="G32">
        <v>0</v>
      </c>
      <c r="H32">
        <v>0</v>
      </c>
      <c r="I32">
        <v>0</v>
      </c>
      <c r="J32">
        <v>0</v>
      </c>
      <c r="K32" t="s">
        <v>109</v>
      </c>
      <c r="L32">
        <v>0</v>
      </c>
      <c r="M32">
        <v>0</v>
      </c>
      <c r="N32">
        <v>0</v>
      </c>
      <c r="O32">
        <v>0</v>
      </c>
    </row>
    <row r="33" spans="1:15" hidden="1" x14ac:dyDescent="0.35">
      <c r="A33" t="s">
        <v>108</v>
      </c>
      <c r="B33" t="s">
        <v>53</v>
      </c>
      <c r="C33" t="s">
        <v>27</v>
      </c>
      <c r="D33">
        <v>100021</v>
      </c>
      <c r="E33" t="s">
        <v>114</v>
      </c>
      <c r="F33">
        <v>0</v>
      </c>
      <c r="G33">
        <v>0</v>
      </c>
      <c r="H33">
        <v>0</v>
      </c>
      <c r="I33">
        <v>0</v>
      </c>
      <c r="J33">
        <v>0</v>
      </c>
      <c r="K33" t="s">
        <v>109</v>
      </c>
      <c r="L33">
        <v>0</v>
      </c>
      <c r="M33">
        <v>0</v>
      </c>
      <c r="N33">
        <v>0</v>
      </c>
      <c r="O33">
        <v>0</v>
      </c>
    </row>
    <row r="34" spans="1:15" hidden="1" x14ac:dyDescent="0.35">
      <c r="A34" t="s">
        <v>108</v>
      </c>
      <c r="B34" t="s">
        <v>53</v>
      </c>
      <c r="C34" t="s">
        <v>27</v>
      </c>
      <c r="D34">
        <v>100021</v>
      </c>
      <c r="E34" t="s">
        <v>115</v>
      </c>
      <c r="F34">
        <v>0</v>
      </c>
      <c r="G34">
        <v>0</v>
      </c>
      <c r="H34">
        <v>0</v>
      </c>
      <c r="I34">
        <v>0</v>
      </c>
      <c r="J34">
        <v>0</v>
      </c>
      <c r="K34" t="s">
        <v>109</v>
      </c>
      <c r="L34">
        <v>0</v>
      </c>
      <c r="M34">
        <v>0</v>
      </c>
      <c r="N34">
        <v>0</v>
      </c>
      <c r="O34">
        <v>0</v>
      </c>
    </row>
    <row r="35" spans="1:15" hidden="1" x14ac:dyDescent="0.35">
      <c r="A35" t="s">
        <v>108</v>
      </c>
      <c r="B35" t="s">
        <v>53</v>
      </c>
      <c r="C35" t="s">
        <v>27</v>
      </c>
      <c r="D35">
        <v>100021</v>
      </c>
      <c r="E35" t="s">
        <v>116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109</v>
      </c>
      <c r="L35">
        <v>0</v>
      </c>
      <c r="M35">
        <v>0</v>
      </c>
      <c r="N35">
        <v>0</v>
      </c>
      <c r="O35">
        <v>0</v>
      </c>
    </row>
    <row r="36" spans="1:15" hidden="1" x14ac:dyDescent="0.35">
      <c r="A36" t="s">
        <v>108</v>
      </c>
      <c r="B36" t="s">
        <v>53</v>
      </c>
      <c r="C36" t="s">
        <v>27</v>
      </c>
      <c r="D36">
        <v>100021</v>
      </c>
      <c r="E36" t="s">
        <v>117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109</v>
      </c>
      <c r="L36">
        <v>0</v>
      </c>
      <c r="M36">
        <v>0</v>
      </c>
      <c r="N36">
        <v>0</v>
      </c>
      <c r="O36">
        <v>0</v>
      </c>
    </row>
    <row r="37" spans="1:15" hidden="1" x14ac:dyDescent="0.35">
      <c r="A37" t="s">
        <v>108</v>
      </c>
      <c r="B37" t="s">
        <v>53</v>
      </c>
      <c r="C37" t="s">
        <v>27</v>
      </c>
      <c r="D37">
        <v>100021</v>
      </c>
      <c r="E37" t="s">
        <v>118</v>
      </c>
      <c r="F37">
        <v>0</v>
      </c>
      <c r="G37">
        <v>0</v>
      </c>
      <c r="H37">
        <v>0</v>
      </c>
      <c r="I37">
        <v>0</v>
      </c>
      <c r="J37">
        <v>0</v>
      </c>
      <c r="K37" t="s">
        <v>109</v>
      </c>
      <c r="L37">
        <v>0</v>
      </c>
      <c r="M37">
        <v>0</v>
      </c>
      <c r="N37">
        <v>0</v>
      </c>
      <c r="O37">
        <v>0</v>
      </c>
    </row>
    <row r="38" spans="1:15" hidden="1" x14ac:dyDescent="0.35">
      <c r="A38" t="s">
        <v>108</v>
      </c>
      <c r="B38" t="s">
        <v>53</v>
      </c>
      <c r="C38" t="s">
        <v>27</v>
      </c>
      <c r="D38">
        <v>100021</v>
      </c>
      <c r="E38" t="s">
        <v>119</v>
      </c>
      <c r="F38">
        <v>0</v>
      </c>
      <c r="G38">
        <v>0</v>
      </c>
      <c r="H38">
        <v>0</v>
      </c>
      <c r="I38">
        <v>0</v>
      </c>
      <c r="J38">
        <v>0</v>
      </c>
      <c r="K38" t="s">
        <v>109</v>
      </c>
      <c r="L38">
        <v>0</v>
      </c>
      <c r="M38">
        <v>0</v>
      </c>
      <c r="N38">
        <v>0</v>
      </c>
      <c r="O38">
        <v>0</v>
      </c>
    </row>
    <row r="39" spans="1:15" hidden="1" x14ac:dyDescent="0.35">
      <c r="A39" t="s">
        <v>108</v>
      </c>
      <c r="B39" t="s">
        <v>53</v>
      </c>
      <c r="C39" t="s">
        <v>27</v>
      </c>
      <c r="D39">
        <v>100021</v>
      </c>
      <c r="E39" t="s">
        <v>121</v>
      </c>
      <c r="F39">
        <v>0</v>
      </c>
      <c r="G39">
        <v>0</v>
      </c>
      <c r="H39">
        <v>0</v>
      </c>
      <c r="I39">
        <v>0</v>
      </c>
      <c r="J39">
        <v>0</v>
      </c>
      <c r="K39" t="s">
        <v>109</v>
      </c>
      <c r="L39">
        <v>0</v>
      </c>
      <c r="M39">
        <v>0</v>
      </c>
      <c r="N39">
        <v>0</v>
      </c>
      <c r="O39">
        <v>0</v>
      </c>
    </row>
    <row r="40" spans="1:15" hidden="1" x14ac:dyDescent="0.35">
      <c r="A40" t="s">
        <v>108</v>
      </c>
      <c r="B40" t="s">
        <v>53</v>
      </c>
      <c r="C40" t="s">
        <v>27</v>
      </c>
      <c r="D40">
        <v>100021</v>
      </c>
      <c r="E40" t="s">
        <v>122</v>
      </c>
      <c r="F40">
        <v>0</v>
      </c>
      <c r="G40">
        <v>0</v>
      </c>
      <c r="H40">
        <v>0</v>
      </c>
      <c r="I40">
        <v>0</v>
      </c>
      <c r="J40">
        <v>0</v>
      </c>
      <c r="K40" t="s">
        <v>109</v>
      </c>
      <c r="L40">
        <v>0</v>
      </c>
      <c r="M40">
        <v>0</v>
      </c>
      <c r="N40">
        <v>0</v>
      </c>
      <c r="O40">
        <v>0</v>
      </c>
    </row>
    <row r="41" spans="1:15" hidden="1" x14ac:dyDescent="0.35">
      <c r="A41" t="s">
        <v>108</v>
      </c>
      <c r="B41" t="s">
        <v>53</v>
      </c>
      <c r="C41" t="s">
        <v>27</v>
      </c>
      <c r="D41">
        <v>100021</v>
      </c>
      <c r="E41" t="s">
        <v>123</v>
      </c>
      <c r="F41">
        <v>0</v>
      </c>
      <c r="G41">
        <v>0</v>
      </c>
      <c r="H41">
        <v>0</v>
      </c>
      <c r="I41">
        <v>0</v>
      </c>
      <c r="J41">
        <v>0</v>
      </c>
      <c r="K41" t="s">
        <v>109</v>
      </c>
      <c r="L41">
        <v>0</v>
      </c>
      <c r="M41">
        <v>0</v>
      </c>
      <c r="N41">
        <v>0</v>
      </c>
      <c r="O41">
        <v>0</v>
      </c>
    </row>
    <row r="42" spans="1:15" hidden="1" x14ac:dyDescent="0.35">
      <c r="A42" t="s">
        <v>108</v>
      </c>
      <c r="B42" t="s">
        <v>53</v>
      </c>
      <c r="C42" t="s">
        <v>27</v>
      </c>
      <c r="D42">
        <v>100021</v>
      </c>
      <c r="E42" t="s">
        <v>124</v>
      </c>
      <c r="F42">
        <v>0</v>
      </c>
      <c r="G42">
        <v>0</v>
      </c>
      <c r="H42">
        <v>0</v>
      </c>
      <c r="I42">
        <v>0</v>
      </c>
      <c r="J42">
        <v>0</v>
      </c>
      <c r="K42" t="s">
        <v>109</v>
      </c>
      <c r="L42">
        <v>0</v>
      </c>
      <c r="M42">
        <v>0</v>
      </c>
      <c r="N42">
        <v>0</v>
      </c>
      <c r="O42">
        <v>0</v>
      </c>
    </row>
    <row r="43" spans="1:15" hidden="1" x14ac:dyDescent="0.35">
      <c r="A43" t="s">
        <v>108</v>
      </c>
      <c r="B43" t="s">
        <v>53</v>
      </c>
      <c r="C43" t="s">
        <v>27</v>
      </c>
      <c r="D43">
        <v>100021</v>
      </c>
      <c r="E43" t="s">
        <v>125</v>
      </c>
      <c r="F43">
        <v>0</v>
      </c>
      <c r="G43">
        <v>0</v>
      </c>
      <c r="H43">
        <v>0</v>
      </c>
      <c r="I43">
        <v>0</v>
      </c>
      <c r="J43">
        <v>0</v>
      </c>
      <c r="K43" t="s">
        <v>109</v>
      </c>
      <c r="L43">
        <v>0</v>
      </c>
      <c r="M43">
        <v>0</v>
      </c>
      <c r="N43">
        <v>0</v>
      </c>
      <c r="O43">
        <v>0</v>
      </c>
    </row>
    <row r="44" spans="1:15" hidden="1" x14ac:dyDescent="0.35">
      <c r="A44" t="s">
        <v>108</v>
      </c>
      <c r="B44" t="s">
        <v>53</v>
      </c>
      <c r="C44" t="s">
        <v>27</v>
      </c>
      <c r="D44">
        <v>100021</v>
      </c>
      <c r="E44" t="s">
        <v>126</v>
      </c>
      <c r="F44">
        <v>0</v>
      </c>
      <c r="G44">
        <v>0</v>
      </c>
      <c r="H44">
        <v>0</v>
      </c>
      <c r="I44">
        <v>0</v>
      </c>
      <c r="J44">
        <v>0</v>
      </c>
      <c r="K44" t="s">
        <v>109</v>
      </c>
      <c r="L44">
        <v>0</v>
      </c>
      <c r="M44">
        <v>0</v>
      </c>
      <c r="N44">
        <v>0</v>
      </c>
      <c r="O44">
        <v>0</v>
      </c>
    </row>
    <row r="45" spans="1:15" hidden="1" x14ac:dyDescent="0.35">
      <c r="A45" t="s">
        <v>108</v>
      </c>
      <c r="B45" t="s">
        <v>53</v>
      </c>
      <c r="C45" t="s">
        <v>27</v>
      </c>
      <c r="D45">
        <v>100021</v>
      </c>
      <c r="E45" t="s">
        <v>127</v>
      </c>
      <c r="F45">
        <v>0</v>
      </c>
      <c r="G45">
        <v>0</v>
      </c>
      <c r="H45">
        <v>0</v>
      </c>
      <c r="I45">
        <v>0</v>
      </c>
      <c r="J45">
        <v>0</v>
      </c>
      <c r="K45" t="s">
        <v>109</v>
      </c>
      <c r="L45">
        <v>0</v>
      </c>
      <c r="M45">
        <v>0</v>
      </c>
      <c r="N45">
        <v>0</v>
      </c>
      <c r="O45">
        <v>0</v>
      </c>
    </row>
    <row r="46" spans="1:15" hidden="1" x14ac:dyDescent="0.35">
      <c r="A46" t="s">
        <v>108</v>
      </c>
      <c r="B46" t="s">
        <v>53</v>
      </c>
      <c r="C46" t="s">
        <v>27</v>
      </c>
      <c r="D46">
        <v>100021</v>
      </c>
      <c r="E46" t="s">
        <v>128</v>
      </c>
      <c r="F46">
        <v>0</v>
      </c>
      <c r="G46">
        <v>0</v>
      </c>
      <c r="H46">
        <v>0</v>
      </c>
      <c r="I46">
        <v>0</v>
      </c>
      <c r="J46">
        <v>0</v>
      </c>
      <c r="K46" t="s">
        <v>109</v>
      </c>
      <c r="L46">
        <v>0</v>
      </c>
      <c r="M46">
        <v>0</v>
      </c>
      <c r="N46">
        <v>0</v>
      </c>
      <c r="O46">
        <v>0</v>
      </c>
    </row>
    <row r="47" spans="1:15" hidden="1" x14ac:dyDescent="0.35">
      <c r="A47" t="s">
        <v>108</v>
      </c>
      <c r="B47" t="s">
        <v>53</v>
      </c>
      <c r="C47" t="s">
        <v>27</v>
      </c>
      <c r="D47">
        <v>100021</v>
      </c>
      <c r="E47" t="s">
        <v>129</v>
      </c>
      <c r="F47">
        <v>0</v>
      </c>
      <c r="G47">
        <v>0</v>
      </c>
      <c r="H47">
        <v>0</v>
      </c>
      <c r="I47">
        <v>0</v>
      </c>
      <c r="J47">
        <v>0</v>
      </c>
      <c r="K47" t="s">
        <v>109</v>
      </c>
      <c r="L47">
        <v>0</v>
      </c>
      <c r="M47">
        <v>0</v>
      </c>
      <c r="N47">
        <v>0</v>
      </c>
      <c r="O47">
        <v>0</v>
      </c>
    </row>
    <row r="48" spans="1:15" hidden="1" x14ac:dyDescent="0.35">
      <c r="A48" t="s">
        <v>108</v>
      </c>
      <c r="B48" t="s">
        <v>53</v>
      </c>
      <c r="C48" t="s">
        <v>27</v>
      </c>
      <c r="D48">
        <v>100021</v>
      </c>
      <c r="E48" t="s">
        <v>130</v>
      </c>
      <c r="F48">
        <v>0</v>
      </c>
      <c r="G48">
        <v>0</v>
      </c>
      <c r="H48">
        <v>0</v>
      </c>
      <c r="I48">
        <v>0</v>
      </c>
      <c r="J48">
        <v>0</v>
      </c>
      <c r="K48" t="s">
        <v>109</v>
      </c>
      <c r="L48">
        <v>0</v>
      </c>
      <c r="M48">
        <v>0</v>
      </c>
      <c r="N48">
        <v>0</v>
      </c>
      <c r="O48">
        <v>0</v>
      </c>
    </row>
    <row r="49" spans="1:15" hidden="1" x14ac:dyDescent="0.35">
      <c r="A49" t="s">
        <v>108</v>
      </c>
      <c r="B49" t="s">
        <v>53</v>
      </c>
      <c r="C49" t="s">
        <v>25</v>
      </c>
      <c r="D49">
        <v>100461</v>
      </c>
      <c r="F49">
        <v>0</v>
      </c>
      <c r="G49">
        <v>0</v>
      </c>
      <c r="H49">
        <v>0.61972222222222195</v>
      </c>
      <c r="I49">
        <v>0</v>
      </c>
      <c r="J49">
        <v>0</v>
      </c>
      <c r="K49" t="s">
        <v>109</v>
      </c>
      <c r="L49">
        <v>0</v>
      </c>
      <c r="M49">
        <v>0</v>
      </c>
      <c r="N49">
        <v>0</v>
      </c>
      <c r="O49">
        <v>-0.61972222222222195</v>
      </c>
    </row>
    <row r="50" spans="1:15" x14ac:dyDescent="0.35">
      <c r="A50" t="s">
        <v>108</v>
      </c>
      <c r="B50" t="s">
        <v>54</v>
      </c>
      <c r="C50" t="s">
        <v>32</v>
      </c>
      <c r="D50">
        <v>100407</v>
      </c>
      <c r="E50" t="s">
        <v>110</v>
      </c>
      <c r="F50">
        <v>0</v>
      </c>
      <c r="G50">
        <v>0</v>
      </c>
      <c r="H50">
        <v>0</v>
      </c>
      <c r="I50">
        <v>0</v>
      </c>
      <c r="J50">
        <v>0</v>
      </c>
      <c r="K50" t="s">
        <v>109</v>
      </c>
      <c r="L50">
        <v>0</v>
      </c>
      <c r="M50">
        <v>0</v>
      </c>
      <c r="N50">
        <v>0</v>
      </c>
      <c r="O50">
        <v>0</v>
      </c>
    </row>
    <row r="51" spans="1:15" x14ac:dyDescent="0.35">
      <c r="A51" t="s">
        <v>108</v>
      </c>
      <c r="B51" t="s">
        <v>54</v>
      </c>
      <c r="C51" t="s">
        <v>32</v>
      </c>
      <c r="D51">
        <v>100407</v>
      </c>
      <c r="E51" t="s">
        <v>121</v>
      </c>
      <c r="F51">
        <v>0</v>
      </c>
      <c r="G51">
        <v>0</v>
      </c>
      <c r="H51">
        <v>0</v>
      </c>
      <c r="I51">
        <v>0</v>
      </c>
      <c r="J51">
        <v>0</v>
      </c>
      <c r="K51" t="s">
        <v>109</v>
      </c>
      <c r="L51">
        <v>0</v>
      </c>
      <c r="M51">
        <v>0</v>
      </c>
      <c r="N51">
        <v>0</v>
      </c>
      <c r="O51">
        <v>0</v>
      </c>
    </row>
    <row r="52" spans="1:15" x14ac:dyDescent="0.35">
      <c r="A52" t="s">
        <v>108</v>
      </c>
      <c r="B52" t="s">
        <v>54</v>
      </c>
      <c r="C52" t="s">
        <v>32</v>
      </c>
      <c r="D52">
        <v>100407</v>
      </c>
      <c r="E52" t="s">
        <v>132</v>
      </c>
      <c r="F52">
        <v>0</v>
      </c>
      <c r="G52">
        <v>0</v>
      </c>
      <c r="H52">
        <v>0</v>
      </c>
      <c r="I52">
        <v>0</v>
      </c>
      <c r="J52">
        <v>0</v>
      </c>
      <c r="K52" t="s">
        <v>109</v>
      </c>
      <c r="L52">
        <v>0</v>
      </c>
      <c r="M52">
        <v>0</v>
      </c>
      <c r="N52">
        <v>0</v>
      </c>
      <c r="O52">
        <v>0</v>
      </c>
    </row>
    <row r="53" spans="1:15" x14ac:dyDescent="0.35">
      <c r="A53" t="s">
        <v>108</v>
      </c>
      <c r="B53" t="s">
        <v>54</v>
      </c>
      <c r="C53" t="s">
        <v>32</v>
      </c>
      <c r="D53">
        <v>100407</v>
      </c>
      <c r="E53" t="s">
        <v>133</v>
      </c>
      <c r="F53">
        <v>0</v>
      </c>
      <c r="G53">
        <v>0</v>
      </c>
      <c r="H53">
        <v>0</v>
      </c>
      <c r="I53">
        <v>0</v>
      </c>
      <c r="J53">
        <v>0</v>
      </c>
      <c r="K53" t="s">
        <v>109</v>
      </c>
      <c r="L53">
        <v>0</v>
      </c>
      <c r="M53">
        <v>0</v>
      </c>
      <c r="N53">
        <v>0</v>
      </c>
      <c r="O53">
        <v>0</v>
      </c>
    </row>
    <row r="54" spans="1:15" x14ac:dyDescent="0.35">
      <c r="A54" t="s">
        <v>108</v>
      </c>
      <c r="B54" t="s">
        <v>54</v>
      </c>
      <c r="C54" t="s">
        <v>32</v>
      </c>
      <c r="D54">
        <v>100407</v>
      </c>
      <c r="E54" t="s">
        <v>134</v>
      </c>
      <c r="F54">
        <v>0</v>
      </c>
      <c r="G54">
        <v>0</v>
      </c>
      <c r="H54">
        <v>0</v>
      </c>
      <c r="I54">
        <v>0</v>
      </c>
      <c r="J54">
        <v>0</v>
      </c>
      <c r="K54" t="s">
        <v>109</v>
      </c>
      <c r="L54">
        <v>0</v>
      </c>
      <c r="M54">
        <v>0</v>
      </c>
      <c r="N54">
        <v>0</v>
      </c>
      <c r="O54">
        <v>0</v>
      </c>
    </row>
    <row r="55" spans="1:15" x14ac:dyDescent="0.35">
      <c r="A55" t="s">
        <v>108</v>
      </c>
      <c r="B55" t="s">
        <v>54</v>
      </c>
      <c r="C55" t="s">
        <v>32</v>
      </c>
      <c r="D55">
        <v>100407</v>
      </c>
      <c r="E55" t="s">
        <v>135</v>
      </c>
      <c r="F55">
        <v>0</v>
      </c>
      <c r="G55">
        <v>0</v>
      </c>
      <c r="H55">
        <v>0</v>
      </c>
      <c r="I55">
        <v>0</v>
      </c>
      <c r="J55">
        <v>0</v>
      </c>
      <c r="K55" t="s">
        <v>109</v>
      </c>
      <c r="L55">
        <v>0</v>
      </c>
      <c r="M55">
        <v>0</v>
      </c>
      <c r="N55">
        <v>0</v>
      </c>
      <c r="O55">
        <v>0</v>
      </c>
    </row>
    <row r="56" spans="1:15" x14ac:dyDescent="0.35">
      <c r="A56" t="s">
        <v>108</v>
      </c>
      <c r="B56" t="s">
        <v>54</v>
      </c>
      <c r="C56" t="s">
        <v>32</v>
      </c>
      <c r="D56">
        <v>100407</v>
      </c>
      <c r="E56" t="s">
        <v>136</v>
      </c>
      <c r="F56">
        <v>495</v>
      </c>
      <c r="G56">
        <v>495</v>
      </c>
      <c r="H56">
        <v>12.2630555555555</v>
      </c>
      <c r="I56">
        <v>40.365143724375301</v>
      </c>
      <c r="J56">
        <v>40.365143724375301</v>
      </c>
      <c r="K56" t="s">
        <v>109</v>
      </c>
      <c r="L56">
        <v>612.67999999999995</v>
      </c>
      <c r="M56">
        <v>0.80792583404060803</v>
      </c>
      <c r="N56">
        <v>6.5882913958959604</v>
      </c>
      <c r="O56">
        <v>-11.455129721514901</v>
      </c>
    </row>
    <row r="57" spans="1:15" x14ac:dyDescent="0.35">
      <c r="A57" t="s">
        <v>108</v>
      </c>
      <c r="B57" t="s">
        <v>54</v>
      </c>
      <c r="C57" t="s">
        <v>32</v>
      </c>
      <c r="D57">
        <v>100407</v>
      </c>
      <c r="E57" t="s">
        <v>137</v>
      </c>
      <c r="F57">
        <v>4</v>
      </c>
      <c r="G57">
        <v>4</v>
      </c>
      <c r="H57">
        <v>5.8888888888888803E-2</v>
      </c>
      <c r="I57">
        <v>67.924528301886795</v>
      </c>
      <c r="J57">
        <v>67.924528301886795</v>
      </c>
      <c r="K57" t="s">
        <v>109</v>
      </c>
      <c r="L57">
        <v>612.67999999999995</v>
      </c>
      <c r="M57">
        <v>6.5286936084089503E-3</v>
      </c>
      <c r="N57">
        <v>11.086460844468</v>
      </c>
      <c r="O57">
        <v>-5.2360195280479901E-2</v>
      </c>
    </row>
    <row r="58" spans="1:15" x14ac:dyDescent="0.35">
      <c r="A58" t="s">
        <v>108</v>
      </c>
      <c r="B58" t="s">
        <v>54</v>
      </c>
      <c r="C58" t="s">
        <v>32</v>
      </c>
      <c r="D58">
        <v>100407</v>
      </c>
      <c r="E58" t="s">
        <v>138</v>
      </c>
      <c r="F58">
        <v>0</v>
      </c>
      <c r="G58">
        <v>0</v>
      </c>
      <c r="H58">
        <v>0</v>
      </c>
      <c r="I58">
        <v>0</v>
      </c>
      <c r="J58">
        <v>0</v>
      </c>
      <c r="K58" t="s">
        <v>109</v>
      </c>
      <c r="L58">
        <v>0</v>
      </c>
      <c r="M58">
        <v>0</v>
      </c>
      <c r="N58">
        <v>0</v>
      </c>
      <c r="O58">
        <v>0</v>
      </c>
    </row>
    <row r="59" spans="1:15" x14ac:dyDescent="0.35">
      <c r="A59" t="s">
        <v>108</v>
      </c>
      <c r="B59" t="s">
        <v>54</v>
      </c>
      <c r="C59" t="s">
        <v>32</v>
      </c>
      <c r="D59">
        <v>100407</v>
      </c>
      <c r="E59" t="s">
        <v>139</v>
      </c>
      <c r="F59">
        <v>0</v>
      </c>
      <c r="G59">
        <v>0</v>
      </c>
      <c r="H59">
        <v>0</v>
      </c>
      <c r="I59">
        <v>0</v>
      </c>
      <c r="J59">
        <v>0</v>
      </c>
      <c r="K59" t="s">
        <v>109</v>
      </c>
      <c r="L59">
        <v>0</v>
      </c>
      <c r="M59">
        <v>0</v>
      </c>
      <c r="N59">
        <v>0</v>
      </c>
      <c r="O59">
        <v>0</v>
      </c>
    </row>
    <row r="60" spans="1:15" x14ac:dyDescent="0.35">
      <c r="A60" t="s">
        <v>108</v>
      </c>
      <c r="B60" t="s">
        <v>54</v>
      </c>
      <c r="C60" t="s">
        <v>32</v>
      </c>
      <c r="D60">
        <v>100407</v>
      </c>
      <c r="E60" t="s">
        <v>140</v>
      </c>
      <c r="F60">
        <v>657</v>
      </c>
      <c r="G60">
        <v>11299</v>
      </c>
      <c r="H60">
        <v>13.4777777777777</v>
      </c>
      <c r="I60">
        <v>48.746908491343703</v>
      </c>
      <c r="J60">
        <v>838.34295136026299</v>
      </c>
      <c r="K60" t="s">
        <v>109</v>
      </c>
      <c r="L60">
        <v>612.67999999999995</v>
      </c>
      <c r="M60">
        <v>1.07233792518117</v>
      </c>
      <c r="N60">
        <v>7.9563407474283103</v>
      </c>
      <c r="O60">
        <v>-12.405439852596601</v>
      </c>
    </row>
    <row r="61" spans="1:15" x14ac:dyDescent="0.35">
      <c r="A61" t="s">
        <v>108</v>
      </c>
      <c r="B61" t="s">
        <v>54</v>
      </c>
      <c r="C61" t="s">
        <v>32</v>
      </c>
      <c r="D61">
        <v>100407</v>
      </c>
      <c r="E61" t="s">
        <v>141</v>
      </c>
      <c r="F61">
        <v>3</v>
      </c>
      <c r="G61">
        <v>58</v>
      </c>
      <c r="H61">
        <v>2.4444444444444401E-2</v>
      </c>
      <c r="I61">
        <v>122.72727272727199</v>
      </c>
      <c r="J61">
        <v>2372.7272727272698</v>
      </c>
      <c r="K61" t="s">
        <v>109</v>
      </c>
      <c r="L61">
        <v>612.67999999999995</v>
      </c>
      <c r="M61">
        <v>4.8965202063067101E-3</v>
      </c>
      <c r="N61">
        <v>20.031219025800201</v>
      </c>
      <c r="O61">
        <v>-1.9547924238137698E-2</v>
      </c>
    </row>
    <row r="62" spans="1:15" x14ac:dyDescent="0.35">
      <c r="A62" t="s">
        <v>108</v>
      </c>
      <c r="B62" t="s">
        <v>54</v>
      </c>
      <c r="C62" t="s">
        <v>142</v>
      </c>
      <c r="D62">
        <v>100472</v>
      </c>
      <c r="E62" t="s">
        <v>143</v>
      </c>
      <c r="F62">
        <v>0</v>
      </c>
      <c r="G62">
        <v>0</v>
      </c>
      <c r="H62">
        <v>0</v>
      </c>
      <c r="I62">
        <v>0</v>
      </c>
      <c r="J62">
        <v>0</v>
      </c>
      <c r="K62" t="s">
        <v>109</v>
      </c>
      <c r="L62">
        <v>0</v>
      </c>
      <c r="M62">
        <v>0</v>
      </c>
      <c r="N62">
        <v>0</v>
      </c>
      <c r="O62">
        <v>0</v>
      </c>
    </row>
    <row r="63" spans="1:15" x14ac:dyDescent="0.35">
      <c r="A63" t="s">
        <v>108</v>
      </c>
      <c r="B63" t="s">
        <v>54</v>
      </c>
      <c r="C63" t="s">
        <v>142</v>
      </c>
      <c r="D63">
        <v>100472</v>
      </c>
      <c r="E63" t="s">
        <v>144</v>
      </c>
      <c r="F63">
        <v>0</v>
      </c>
      <c r="G63">
        <v>0</v>
      </c>
      <c r="H63">
        <v>0</v>
      </c>
      <c r="I63">
        <v>0</v>
      </c>
      <c r="J63">
        <v>0</v>
      </c>
      <c r="K63" t="s">
        <v>109</v>
      </c>
      <c r="L63">
        <v>0</v>
      </c>
      <c r="M63">
        <v>0</v>
      </c>
      <c r="N63">
        <v>0</v>
      </c>
      <c r="O63">
        <v>0</v>
      </c>
    </row>
    <row r="64" spans="1:15" x14ac:dyDescent="0.35">
      <c r="A64" t="s">
        <v>108</v>
      </c>
      <c r="B64" t="s">
        <v>54</v>
      </c>
      <c r="C64" t="s">
        <v>142</v>
      </c>
      <c r="D64">
        <v>100472</v>
      </c>
      <c r="E64" t="s">
        <v>145</v>
      </c>
      <c r="F64">
        <v>0</v>
      </c>
      <c r="G64">
        <v>0</v>
      </c>
      <c r="H64">
        <v>0</v>
      </c>
      <c r="I64">
        <v>0</v>
      </c>
      <c r="J64">
        <v>0</v>
      </c>
      <c r="K64" t="s">
        <v>109</v>
      </c>
      <c r="L64">
        <v>0</v>
      </c>
      <c r="M64">
        <v>0</v>
      </c>
      <c r="N64">
        <v>0</v>
      </c>
      <c r="O64">
        <v>0</v>
      </c>
    </row>
    <row r="65" spans="1:15" x14ac:dyDescent="0.35">
      <c r="A65" t="s">
        <v>108</v>
      </c>
      <c r="B65" t="s">
        <v>54</v>
      </c>
      <c r="C65" t="s">
        <v>142</v>
      </c>
      <c r="D65">
        <v>100472</v>
      </c>
      <c r="E65" t="s">
        <v>146</v>
      </c>
      <c r="F65">
        <v>0</v>
      </c>
      <c r="G65">
        <v>0</v>
      </c>
      <c r="H65">
        <v>0</v>
      </c>
      <c r="I65">
        <v>0</v>
      </c>
      <c r="J65">
        <v>0</v>
      </c>
      <c r="K65" t="s">
        <v>109</v>
      </c>
      <c r="L65">
        <v>0</v>
      </c>
      <c r="M65">
        <v>0</v>
      </c>
      <c r="N65">
        <v>0</v>
      </c>
      <c r="O65">
        <v>0</v>
      </c>
    </row>
    <row r="66" spans="1:15" x14ac:dyDescent="0.35">
      <c r="A66" t="s">
        <v>108</v>
      </c>
      <c r="B66" t="s">
        <v>54</v>
      </c>
      <c r="C66" t="s">
        <v>142</v>
      </c>
      <c r="D66">
        <v>100472</v>
      </c>
      <c r="E66" t="s">
        <v>147</v>
      </c>
      <c r="F66">
        <v>0</v>
      </c>
      <c r="G66">
        <v>0</v>
      </c>
      <c r="H66">
        <v>0</v>
      </c>
      <c r="I66">
        <v>0</v>
      </c>
      <c r="J66">
        <v>0</v>
      </c>
      <c r="K66" t="s">
        <v>109</v>
      </c>
      <c r="L66">
        <v>0</v>
      </c>
      <c r="M66">
        <v>0</v>
      </c>
      <c r="N66">
        <v>0</v>
      </c>
      <c r="O66">
        <v>0</v>
      </c>
    </row>
    <row r="67" spans="1:15" x14ac:dyDescent="0.35">
      <c r="A67" t="s">
        <v>108</v>
      </c>
      <c r="B67" t="s">
        <v>54</v>
      </c>
      <c r="C67" t="s">
        <v>142</v>
      </c>
      <c r="D67">
        <v>100472</v>
      </c>
      <c r="E67" t="s">
        <v>148</v>
      </c>
      <c r="F67">
        <v>0</v>
      </c>
      <c r="G67">
        <v>0</v>
      </c>
      <c r="H67">
        <v>0</v>
      </c>
      <c r="I67">
        <v>0</v>
      </c>
      <c r="J67">
        <v>0</v>
      </c>
      <c r="K67" t="s">
        <v>109</v>
      </c>
      <c r="L67">
        <v>0</v>
      </c>
      <c r="M67">
        <v>0</v>
      </c>
      <c r="N67">
        <v>0</v>
      </c>
      <c r="O67">
        <v>0</v>
      </c>
    </row>
    <row r="68" spans="1:15" x14ac:dyDescent="0.35">
      <c r="A68" t="s">
        <v>108</v>
      </c>
      <c r="B68" t="s">
        <v>54</v>
      </c>
      <c r="C68" t="s">
        <v>142</v>
      </c>
      <c r="D68">
        <v>100472</v>
      </c>
      <c r="E68" t="s">
        <v>149</v>
      </c>
      <c r="F68">
        <v>0</v>
      </c>
      <c r="G68">
        <v>0</v>
      </c>
      <c r="H68">
        <v>0</v>
      </c>
      <c r="I68">
        <v>0</v>
      </c>
      <c r="J68">
        <v>0</v>
      </c>
      <c r="K68" t="s">
        <v>109</v>
      </c>
      <c r="L68">
        <v>0</v>
      </c>
      <c r="M68">
        <v>0</v>
      </c>
      <c r="N68">
        <v>0</v>
      </c>
      <c r="O68">
        <v>0</v>
      </c>
    </row>
    <row r="69" spans="1:15" x14ac:dyDescent="0.35">
      <c r="A69" t="s">
        <v>108</v>
      </c>
      <c r="B69" t="s">
        <v>54</v>
      </c>
      <c r="C69" t="s">
        <v>142</v>
      </c>
      <c r="D69">
        <v>100472</v>
      </c>
      <c r="E69" t="s">
        <v>150</v>
      </c>
      <c r="F69">
        <v>0</v>
      </c>
      <c r="G69">
        <v>0</v>
      </c>
      <c r="H69">
        <v>0</v>
      </c>
      <c r="I69">
        <v>0</v>
      </c>
      <c r="J69">
        <v>0</v>
      </c>
      <c r="K69" t="s">
        <v>109</v>
      </c>
      <c r="L69">
        <v>0</v>
      </c>
      <c r="M69">
        <v>0</v>
      </c>
      <c r="N69">
        <v>0</v>
      </c>
      <c r="O69">
        <v>0</v>
      </c>
    </row>
    <row r="70" spans="1:15" x14ac:dyDescent="0.35">
      <c r="A70" t="s">
        <v>108</v>
      </c>
      <c r="B70" t="s">
        <v>54</v>
      </c>
      <c r="C70" t="s">
        <v>142</v>
      </c>
      <c r="D70">
        <v>100472</v>
      </c>
      <c r="E70" t="s">
        <v>151</v>
      </c>
      <c r="F70">
        <v>0</v>
      </c>
      <c r="G70">
        <v>0</v>
      </c>
      <c r="H70">
        <v>0</v>
      </c>
      <c r="I70">
        <v>0</v>
      </c>
      <c r="J70">
        <v>0</v>
      </c>
      <c r="K70" t="s">
        <v>109</v>
      </c>
      <c r="L70">
        <v>0</v>
      </c>
      <c r="M70">
        <v>0</v>
      </c>
      <c r="N70">
        <v>0</v>
      </c>
      <c r="O70">
        <v>0</v>
      </c>
    </row>
    <row r="71" spans="1:15" x14ac:dyDescent="0.35">
      <c r="A71" t="s">
        <v>108</v>
      </c>
      <c r="B71" t="s">
        <v>54</v>
      </c>
      <c r="C71" t="s">
        <v>142</v>
      </c>
      <c r="D71">
        <v>100472</v>
      </c>
      <c r="E71" t="s">
        <v>152</v>
      </c>
      <c r="F71">
        <v>0</v>
      </c>
      <c r="G71">
        <v>0</v>
      </c>
      <c r="H71">
        <v>0</v>
      </c>
      <c r="I71">
        <v>0</v>
      </c>
      <c r="J71">
        <v>0</v>
      </c>
      <c r="K71" t="s">
        <v>109</v>
      </c>
      <c r="L71">
        <v>0</v>
      </c>
      <c r="M71">
        <v>0</v>
      </c>
      <c r="N71">
        <v>0</v>
      </c>
      <c r="O71">
        <v>0</v>
      </c>
    </row>
    <row r="72" spans="1:15" x14ac:dyDescent="0.35">
      <c r="A72" t="s">
        <v>108</v>
      </c>
      <c r="B72" t="s">
        <v>54</v>
      </c>
      <c r="C72" t="s">
        <v>142</v>
      </c>
      <c r="D72">
        <v>100472</v>
      </c>
      <c r="E72" t="s">
        <v>153</v>
      </c>
      <c r="F72">
        <v>0</v>
      </c>
      <c r="G72">
        <v>0</v>
      </c>
      <c r="H72">
        <v>0</v>
      </c>
      <c r="I72">
        <v>0</v>
      </c>
      <c r="J72">
        <v>0</v>
      </c>
      <c r="K72" t="s">
        <v>109</v>
      </c>
      <c r="L72">
        <v>0</v>
      </c>
      <c r="M72">
        <v>0</v>
      </c>
      <c r="N72">
        <v>0</v>
      </c>
      <c r="O72">
        <v>0</v>
      </c>
    </row>
    <row r="73" spans="1:15" x14ac:dyDescent="0.35">
      <c r="A73" t="s">
        <v>108</v>
      </c>
      <c r="B73" t="s">
        <v>54</v>
      </c>
      <c r="C73" t="s">
        <v>142</v>
      </c>
      <c r="D73">
        <v>100472</v>
      </c>
      <c r="E73" t="s">
        <v>154</v>
      </c>
      <c r="F73">
        <v>0</v>
      </c>
      <c r="G73">
        <v>0</v>
      </c>
      <c r="H73">
        <v>0</v>
      </c>
      <c r="I73">
        <v>0</v>
      </c>
      <c r="J73">
        <v>0</v>
      </c>
      <c r="K73" t="s">
        <v>109</v>
      </c>
      <c r="L73">
        <v>0</v>
      </c>
      <c r="M73">
        <v>0</v>
      </c>
      <c r="N73">
        <v>0</v>
      </c>
      <c r="O73">
        <v>0</v>
      </c>
    </row>
    <row r="74" spans="1:15" x14ac:dyDescent="0.35">
      <c r="A74" t="s">
        <v>108</v>
      </c>
      <c r="B74" t="s">
        <v>54</v>
      </c>
      <c r="C74" t="s">
        <v>142</v>
      </c>
      <c r="D74">
        <v>100472</v>
      </c>
      <c r="E74" t="s">
        <v>155</v>
      </c>
      <c r="F74">
        <v>0</v>
      </c>
      <c r="G74">
        <v>0</v>
      </c>
      <c r="H74">
        <v>0</v>
      </c>
      <c r="I74">
        <v>0</v>
      </c>
      <c r="J74">
        <v>0</v>
      </c>
      <c r="K74" t="s">
        <v>109</v>
      </c>
      <c r="L74">
        <v>0</v>
      </c>
      <c r="M74">
        <v>0</v>
      </c>
      <c r="N74">
        <v>0</v>
      </c>
      <c r="O74">
        <v>0</v>
      </c>
    </row>
    <row r="75" spans="1:15" x14ac:dyDescent="0.35">
      <c r="A75" t="s">
        <v>108</v>
      </c>
      <c r="B75" t="s">
        <v>54</v>
      </c>
      <c r="C75" t="s">
        <v>142</v>
      </c>
      <c r="D75">
        <v>100472</v>
      </c>
      <c r="E75" t="s">
        <v>156</v>
      </c>
      <c r="F75">
        <v>0</v>
      </c>
      <c r="G75">
        <v>0</v>
      </c>
      <c r="H75">
        <v>0</v>
      </c>
      <c r="I75">
        <v>0</v>
      </c>
      <c r="J75">
        <v>0</v>
      </c>
      <c r="K75" t="s">
        <v>109</v>
      </c>
      <c r="L75">
        <v>0</v>
      </c>
      <c r="M75">
        <v>0</v>
      </c>
      <c r="N75">
        <v>0</v>
      </c>
      <c r="O75">
        <v>0</v>
      </c>
    </row>
    <row r="76" spans="1:15" x14ac:dyDescent="0.35">
      <c r="A76" t="s">
        <v>108</v>
      </c>
      <c r="B76" t="s">
        <v>54</v>
      </c>
      <c r="C76" t="s">
        <v>142</v>
      </c>
      <c r="D76">
        <v>100472</v>
      </c>
      <c r="E76" t="s">
        <v>157</v>
      </c>
      <c r="F76">
        <v>0</v>
      </c>
      <c r="G76">
        <v>0</v>
      </c>
      <c r="H76">
        <v>0</v>
      </c>
      <c r="I76">
        <v>0</v>
      </c>
      <c r="J76">
        <v>0</v>
      </c>
      <c r="K76" t="s">
        <v>109</v>
      </c>
      <c r="L76">
        <v>0</v>
      </c>
      <c r="M76">
        <v>0</v>
      </c>
      <c r="N76">
        <v>0</v>
      </c>
      <c r="O76">
        <v>0</v>
      </c>
    </row>
    <row r="77" spans="1:15" x14ac:dyDescent="0.35">
      <c r="A77" t="s">
        <v>108</v>
      </c>
      <c r="B77" t="s">
        <v>54</v>
      </c>
      <c r="C77" t="s">
        <v>142</v>
      </c>
      <c r="D77">
        <v>100472</v>
      </c>
      <c r="E77" t="s">
        <v>158</v>
      </c>
      <c r="F77">
        <v>0</v>
      </c>
      <c r="G77">
        <v>0</v>
      </c>
      <c r="H77">
        <v>0</v>
      </c>
      <c r="I77">
        <v>0</v>
      </c>
      <c r="J77">
        <v>0</v>
      </c>
      <c r="K77" t="s">
        <v>109</v>
      </c>
      <c r="L77">
        <v>0</v>
      </c>
      <c r="M77">
        <v>0</v>
      </c>
      <c r="N77">
        <v>0</v>
      </c>
      <c r="O77">
        <v>0</v>
      </c>
    </row>
    <row r="78" spans="1:15" x14ac:dyDescent="0.35">
      <c r="A78" t="s">
        <v>108</v>
      </c>
      <c r="B78" t="s">
        <v>54</v>
      </c>
      <c r="C78" t="s">
        <v>142</v>
      </c>
      <c r="D78">
        <v>100472</v>
      </c>
      <c r="E78" t="s">
        <v>159</v>
      </c>
      <c r="F78">
        <v>0</v>
      </c>
      <c r="G78">
        <v>0</v>
      </c>
      <c r="H78">
        <v>0</v>
      </c>
      <c r="I78">
        <v>0</v>
      </c>
      <c r="J78">
        <v>0</v>
      </c>
      <c r="K78" t="s">
        <v>109</v>
      </c>
      <c r="L78">
        <v>0</v>
      </c>
      <c r="M78">
        <v>0</v>
      </c>
      <c r="N78">
        <v>0</v>
      </c>
      <c r="O78">
        <v>0</v>
      </c>
    </row>
    <row r="79" spans="1:15" x14ac:dyDescent="0.35">
      <c r="A79" t="s">
        <v>108</v>
      </c>
      <c r="B79" t="s">
        <v>54</v>
      </c>
      <c r="C79" t="s">
        <v>142</v>
      </c>
      <c r="D79">
        <v>100472</v>
      </c>
      <c r="E79" t="s">
        <v>160</v>
      </c>
      <c r="F79">
        <v>0</v>
      </c>
      <c r="G79">
        <v>0</v>
      </c>
      <c r="H79">
        <v>0</v>
      </c>
      <c r="I79">
        <v>0</v>
      </c>
      <c r="J79">
        <v>0</v>
      </c>
      <c r="K79" t="s">
        <v>109</v>
      </c>
      <c r="L79">
        <v>0</v>
      </c>
      <c r="M79">
        <v>0</v>
      </c>
      <c r="N79">
        <v>0</v>
      </c>
      <c r="O79">
        <v>0</v>
      </c>
    </row>
    <row r="80" spans="1:15" x14ac:dyDescent="0.35">
      <c r="A80" t="s">
        <v>108</v>
      </c>
      <c r="B80" t="s">
        <v>54</v>
      </c>
      <c r="C80" t="s">
        <v>142</v>
      </c>
      <c r="D80">
        <v>100472</v>
      </c>
      <c r="E80" t="s">
        <v>161</v>
      </c>
      <c r="F80">
        <v>0</v>
      </c>
      <c r="G80">
        <v>0</v>
      </c>
      <c r="H80">
        <v>0</v>
      </c>
      <c r="I80">
        <v>0</v>
      </c>
      <c r="J80">
        <v>0</v>
      </c>
      <c r="K80" t="s">
        <v>109</v>
      </c>
      <c r="L80">
        <v>0</v>
      </c>
      <c r="M80">
        <v>0</v>
      </c>
      <c r="N80">
        <v>0</v>
      </c>
      <c r="O80">
        <v>0</v>
      </c>
    </row>
    <row r="81" spans="1:15" x14ac:dyDescent="0.35">
      <c r="A81" t="s">
        <v>108</v>
      </c>
      <c r="B81" t="s">
        <v>54</v>
      </c>
      <c r="C81" t="s">
        <v>142</v>
      </c>
      <c r="D81">
        <v>100472</v>
      </c>
      <c r="E81" t="s">
        <v>162</v>
      </c>
      <c r="F81">
        <v>0</v>
      </c>
      <c r="G81">
        <v>0</v>
      </c>
      <c r="H81">
        <v>0</v>
      </c>
      <c r="I81">
        <v>0</v>
      </c>
      <c r="J81">
        <v>0</v>
      </c>
      <c r="K81" t="s">
        <v>109</v>
      </c>
      <c r="L81">
        <v>0</v>
      </c>
      <c r="M81">
        <v>0</v>
      </c>
      <c r="N81">
        <v>0</v>
      </c>
      <c r="O81">
        <v>0</v>
      </c>
    </row>
    <row r="82" spans="1:15" x14ac:dyDescent="0.35">
      <c r="A82" t="s">
        <v>108</v>
      </c>
      <c r="B82" t="s">
        <v>54</v>
      </c>
      <c r="C82" t="s">
        <v>142</v>
      </c>
      <c r="D82">
        <v>100472</v>
      </c>
      <c r="E82" t="s">
        <v>163</v>
      </c>
      <c r="F82">
        <v>0</v>
      </c>
      <c r="G82">
        <v>0</v>
      </c>
      <c r="H82">
        <v>0</v>
      </c>
      <c r="I82">
        <v>0</v>
      </c>
      <c r="J82">
        <v>0</v>
      </c>
      <c r="K82" t="s">
        <v>109</v>
      </c>
      <c r="L82">
        <v>0</v>
      </c>
      <c r="M82">
        <v>0</v>
      </c>
      <c r="N82">
        <v>0</v>
      </c>
      <c r="O82">
        <v>0</v>
      </c>
    </row>
    <row r="83" spans="1:15" x14ac:dyDescent="0.35">
      <c r="A83" t="s">
        <v>108</v>
      </c>
      <c r="B83" t="s">
        <v>54</v>
      </c>
      <c r="C83" t="s">
        <v>142</v>
      </c>
      <c r="D83">
        <v>100472</v>
      </c>
      <c r="E83" t="s">
        <v>164</v>
      </c>
      <c r="F83">
        <v>0</v>
      </c>
      <c r="G83">
        <v>0</v>
      </c>
      <c r="H83">
        <v>0</v>
      </c>
      <c r="I83">
        <v>0</v>
      </c>
      <c r="J83">
        <v>0</v>
      </c>
      <c r="K83" t="s">
        <v>109</v>
      </c>
      <c r="L83">
        <v>0</v>
      </c>
      <c r="M83">
        <v>0</v>
      </c>
      <c r="N83">
        <v>0</v>
      </c>
      <c r="O83">
        <v>0</v>
      </c>
    </row>
    <row r="84" spans="1:15" x14ac:dyDescent="0.35">
      <c r="A84" t="s">
        <v>108</v>
      </c>
      <c r="B84" t="s">
        <v>54</v>
      </c>
      <c r="C84" t="s">
        <v>142</v>
      </c>
      <c r="D84">
        <v>100472</v>
      </c>
      <c r="E84" t="s">
        <v>165</v>
      </c>
      <c r="F84">
        <v>0</v>
      </c>
      <c r="G84">
        <v>0</v>
      </c>
      <c r="H84">
        <v>0</v>
      </c>
      <c r="I84">
        <v>0</v>
      </c>
      <c r="J84">
        <v>0</v>
      </c>
      <c r="K84" t="s">
        <v>109</v>
      </c>
      <c r="L84">
        <v>0</v>
      </c>
      <c r="M84">
        <v>0</v>
      </c>
      <c r="N84">
        <v>0</v>
      </c>
      <c r="O84">
        <v>0</v>
      </c>
    </row>
    <row r="85" spans="1:15" x14ac:dyDescent="0.35">
      <c r="A85" t="s">
        <v>108</v>
      </c>
      <c r="B85" t="s">
        <v>54</v>
      </c>
      <c r="C85" t="s">
        <v>142</v>
      </c>
      <c r="D85">
        <v>100472</v>
      </c>
      <c r="E85" t="s">
        <v>166</v>
      </c>
      <c r="F85">
        <v>0</v>
      </c>
      <c r="G85">
        <v>0</v>
      </c>
      <c r="H85">
        <v>0</v>
      </c>
      <c r="I85">
        <v>0</v>
      </c>
      <c r="J85">
        <v>0</v>
      </c>
      <c r="K85" t="s">
        <v>109</v>
      </c>
      <c r="L85">
        <v>0</v>
      </c>
      <c r="M85">
        <v>0</v>
      </c>
      <c r="N85">
        <v>0</v>
      </c>
      <c r="O85">
        <v>0</v>
      </c>
    </row>
    <row r="86" spans="1:15" x14ac:dyDescent="0.35">
      <c r="A86" t="s">
        <v>108</v>
      </c>
      <c r="B86" t="s">
        <v>54</v>
      </c>
      <c r="C86" t="s">
        <v>142</v>
      </c>
      <c r="D86">
        <v>100472</v>
      </c>
      <c r="E86" t="s">
        <v>167</v>
      </c>
      <c r="F86">
        <v>0</v>
      </c>
      <c r="G86">
        <v>0</v>
      </c>
      <c r="H86">
        <v>0</v>
      </c>
      <c r="I86">
        <v>0</v>
      </c>
      <c r="J86">
        <v>0</v>
      </c>
      <c r="K86" t="s">
        <v>109</v>
      </c>
      <c r="L86">
        <v>0</v>
      </c>
      <c r="M86">
        <v>0</v>
      </c>
      <c r="N86">
        <v>0</v>
      </c>
      <c r="O86">
        <v>0</v>
      </c>
    </row>
    <row r="87" spans="1:15" x14ac:dyDescent="0.35">
      <c r="A87" t="s">
        <v>108</v>
      </c>
      <c r="B87" t="s">
        <v>54</v>
      </c>
      <c r="C87" t="s">
        <v>142</v>
      </c>
      <c r="D87">
        <v>100472</v>
      </c>
      <c r="E87" t="s">
        <v>168</v>
      </c>
      <c r="F87">
        <v>0</v>
      </c>
      <c r="G87">
        <v>0</v>
      </c>
      <c r="H87">
        <v>0</v>
      </c>
      <c r="I87">
        <v>0</v>
      </c>
      <c r="J87">
        <v>0</v>
      </c>
      <c r="K87" t="s">
        <v>109</v>
      </c>
      <c r="L87">
        <v>0</v>
      </c>
      <c r="M87">
        <v>0</v>
      </c>
      <c r="N87">
        <v>0</v>
      </c>
      <c r="O87">
        <v>0</v>
      </c>
    </row>
    <row r="88" spans="1:15" x14ac:dyDescent="0.35">
      <c r="A88" t="s">
        <v>108</v>
      </c>
      <c r="B88" t="s">
        <v>54</v>
      </c>
      <c r="C88" t="s">
        <v>142</v>
      </c>
      <c r="D88">
        <v>100472</v>
      </c>
      <c r="E88" t="s">
        <v>169</v>
      </c>
      <c r="F88">
        <v>0</v>
      </c>
      <c r="G88">
        <v>0</v>
      </c>
      <c r="H88">
        <v>0</v>
      </c>
      <c r="I88">
        <v>0</v>
      </c>
      <c r="J88">
        <v>0</v>
      </c>
      <c r="K88" t="s">
        <v>109</v>
      </c>
      <c r="L88">
        <v>0</v>
      </c>
      <c r="M88">
        <v>0</v>
      </c>
      <c r="N88">
        <v>0</v>
      </c>
      <c r="O88">
        <v>0</v>
      </c>
    </row>
    <row r="89" spans="1:15" x14ac:dyDescent="0.35">
      <c r="A89" t="s">
        <v>108</v>
      </c>
      <c r="B89" t="s">
        <v>54</v>
      </c>
      <c r="C89" t="s">
        <v>142</v>
      </c>
      <c r="D89">
        <v>100472</v>
      </c>
      <c r="E89" t="s">
        <v>170</v>
      </c>
      <c r="F89">
        <v>0</v>
      </c>
      <c r="G89">
        <v>0</v>
      </c>
      <c r="H89">
        <v>0</v>
      </c>
      <c r="I89">
        <v>0</v>
      </c>
      <c r="J89">
        <v>0</v>
      </c>
      <c r="K89" t="s">
        <v>109</v>
      </c>
      <c r="L89">
        <v>0</v>
      </c>
      <c r="M89">
        <v>0</v>
      </c>
      <c r="N89">
        <v>0</v>
      </c>
      <c r="O89">
        <v>0</v>
      </c>
    </row>
    <row r="90" spans="1:15" x14ac:dyDescent="0.35">
      <c r="A90" t="s">
        <v>108</v>
      </c>
      <c r="B90" t="s">
        <v>54</v>
      </c>
      <c r="C90" t="s">
        <v>142</v>
      </c>
      <c r="D90">
        <v>100472</v>
      </c>
      <c r="E90" t="s">
        <v>171</v>
      </c>
      <c r="F90">
        <v>0</v>
      </c>
      <c r="G90">
        <v>0</v>
      </c>
      <c r="H90">
        <v>0</v>
      </c>
      <c r="I90">
        <v>0</v>
      </c>
      <c r="J90">
        <v>0</v>
      </c>
      <c r="K90" t="s">
        <v>109</v>
      </c>
      <c r="L90">
        <v>0</v>
      </c>
      <c r="M90">
        <v>0</v>
      </c>
      <c r="N90">
        <v>0</v>
      </c>
      <c r="O90">
        <v>0</v>
      </c>
    </row>
    <row r="91" spans="1:15" x14ac:dyDescent="0.35">
      <c r="A91" t="s">
        <v>108</v>
      </c>
      <c r="B91" t="s">
        <v>54</v>
      </c>
      <c r="C91" t="s">
        <v>142</v>
      </c>
      <c r="D91">
        <v>100472</v>
      </c>
      <c r="E91" t="s">
        <v>172</v>
      </c>
      <c r="F91">
        <v>0</v>
      </c>
      <c r="G91">
        <v>0</v>
      </c>
      <c r="H91">
        <v>0</v>
      </c>
      <c r="I91">
        <v>0</v>
      </c>
      <c r="J91">
        <v>0</v>
      </c>
      <c r="K91" t="s">
        <v>109</v>
      </c>
      <c r="L91">
        <v>0</v>
      </c>
      <c r="M91">
        <v>0</v>
      </c>
      <c r="N91">
        <v>0</v>
      </c>
      <c r="O91">
        <v>0</v>
      </c>
    </row>
    <row r="92" spans="1:15" x14ac:dyDescent="0.35">
      <c r="A92" t="s">
        <v>108</v>
      </c>
      <c r="B92" t="s">
        <v>54</v>
      </c>
      <c r="C92" t="s">
        <v>142</v>
      </c>
      <c r="D92">
        <v>100472</v>
      </c>
      <c r="E92" t="s">
        <v>173</v>
      </c>
      <c r="F92">
        <v>0</v>
      </c>
      <c r="G92">
        <v>0</v>
      </c>
      <c r="H92">
        <v>0</v>
      </c>
      <c r="I92">
        <v>0</v>
      </c>
      <c r="J92">
        <v>0</v>
      </c>
      <c r="K92" t="s">
        <v>109</v>
      </c>
      <c r="L92">
        <v>0</v>
      </c>
      <c r="M92">
        <v>0</v>
      </c>
      <c r="N92">
        <v>0</v>
      </c>
      <c r="O92">
        <v>0</v>
      </c>
    </row>
    <row r="93" spans="1:15" x14ac:dyDescent="0.35">
      <c r="A93" t="s">
        <v>108</v>
      </c>
      <c r="B93" t="s">
        <v>54</v>
      </c>
      <c r="C93" t="s">
        <v>142</v>
      </c>
      <c r="D93">
        <v>100472</v>
      </c>
      <c r="E93" t="s">
        <v>174</v>
      </c>
      <c r="F93">
        <v>0</v>
      </c>
      <c r="G93">
        <v>0</v>
      </c>
      <c r="H93">
        <v>0</v>
      </c>
      <c r="I93">
        <v>0</v>
      </c>
      <c r="J93">
        <v>0</v>
      </c>
      <c r="K93" t="s">
        <v>109</v>
      </c>
      <c r="L93">
        <v>0</v>
      </c>
      <c r="M93">
        <v>0</v>
      </c>
      <c r="N93">
        <v>0</v>
      </c>
      <c r="O93">
        <v>0</v>
      </c>
    </row>
    <row r="94" spans="1:15" x14ac:dyDescent="0.35">
      <c r="A94" t="s">
        <v>108</v>
      </c>
      <c r="B94" t="s">
        <v>54</v>
      </c>
      <c r="C94" t="s">
        <v>142</v>
      </c>
      <c r="D94">
        <v>100472</v>
      </c>
      <c r="E94" t="s">
        <v>175</v>
      </c>
      <c r="F94">
        <v>0</v>
      </c>
      <c r="G94">
        <v>0</v>
      </c>
      <c r="H94">
        <v>0</v>
      </c>
      <c r="I94">
        <v>0</v>
      </c>
      <c r="J94">
        <v>0</v>
      </c>
      <c r="K94" t="s">
        <v>109</v>
      </c>
      <c r="L94">
        <v>0</v>
      </c>
      <c r="M94">
        <v>0</v>
      </c>
      <c r="N94">
        <v>0</v>
      </c>
      <c r="O94">
        <v>0</v>
      </c>
    </row>
    <row r="95" spans="1:15" x14ac:dyDescent="0.35">
      <c r="A95" t="s">
        <v>108</v>
      </c>
      <c r="B95" t="s">
        <v>54</v>
      </c>
      <c r="C95" t="s">
        <v>142</v>
      </c>
      <c r="D95">
        <v>100472</v>
      </c>
      <c r="E95" t="s">
        <v>176</v>
      </c>
      <c r="F95">
        <v>0</v>
      </c>
      <c r="G95">
        <v>0</v>
      </c>
      <c r="H95">
        <v>0</v>
      </c>
      <c r="I95">
        <v>0</v>
      </c>
      <c r="J95">
        <v>0</v>
      </c>
      <c r="K95" t="s">
        <v>109</v>
      </c>
      <c r="L95">
        <v>0</v>
      </c>
      <c r="M95">
        <v>0</v>
      </c>
      <c r="N95">
        <v>0</v>
      </c>
      <c r="O95">
        <v>0</v>
      </c>
    </row>
    <row r="96" spans="1:15" x14ac:dyDescent="0.35">
      <c r="A96" t="s">
        <v>108</v>
      </c>
      <c r="B96" t="s">
        <v>54</v>
      </c>
      <c r="C96" t="s">
        <v>142</v>
      </c>
      <c r="D96">
        <v>100472</v>
      </c>
      <c r="E96" t="s">
        <v>177</v>
      </c>
      <c r="F96">
        <v>0</v>
      </c>
      <c r="G96">
        <v>0</v>
      </c>
      <c r="H96">
        <v>0</v>
      </c>
      <c r="I96">
        <v>0</v>
      </c>
      <c r="J96">
        <v>0</v>
      </c>
      <c r="K96" t="s">
        <v>109</v>
      </c>
      <c r="L96">
        <v>0</v>
      </c>
      <c r="M96">
        <v>0</v>
      </c>
      <c r="N96">
        <v>0</v>
      </c>
      <c r="O96">
        <v>0</v>
      </c>
    </row>
    <row r="97" spans="1:15" x14ac:dyDescent="0.35">
      <c r="A97" t="s">
        <v>108</v>
      </c>
      <c r="B97" t="s">
        <v>54</v>
      </c>
      <c r="C97" t="s">
        <v>142</v>
      </c>
      <c r="D97">
        <v>100472</v>
      </c>
      <c r="E97" t="s">
        <v>178</v>
      </c>
      <c r="F97">
        <v>0</v>
      </c>
      <c r="G97">
        <v>0</v>
      </c>
      <c r="H97">
        <v>0</v>
      </c>
      <c r="I97">
        <v>0</v>
      </c>
      <c r="J97">
        <v>0</v>
      </c>
      <c r="K97" t="s">
        <v>109</v>
      </c>
      <c r="L97">
        <v>0</v>
      </c>
      <c r="M97">
        <v>0</v>
      </c>
      <c r="N97">
        <v>0</v>
      </c>
      <c r="O97">
        <v>0</v>
      </c>
    </row>
    <row r="98" spans="1:15" x14ac:dyDescent="0.35">
      <c r="A98" t="s">
        <v>108</v>
      </c>
      <c r="B98" t="s">
        <v>54</v>
      </c>
      <c r="C98" t="s">
        <v>142</v>
      </c>
      <c r="D98">
        <v>100472</v>
      </c>
      <c r="E98" t="s">
        <v>179</v>
      </c>
      <c r="F98">
        <v>0</v>
      </c>
      <c r="G98">
        <v>0</v>
      </c>
      <c r="H98">
        <v>0</v>
      </c>
      <c r="I98">
        <v>0</v>
      </c>
      <c r="J98">
        <v>0</v>
      </c>
      <c r="K98" t="s">
        <v>109</v>
      </c>
      <c r="L98">
        <v>0</v>
      </c>
      <c r="M98">
        <v>0</v>
      </c>
      <c r="N98">
        <v>0</v>
      </c>
      <c r="O98">
        <v>0</v>
      </c>
    </row>
    <row r="99" spans="1:15" x14ac:dyDescent="0.35">
      <c r="A99" t="s">
        <v>108</v>
      </c>
      <c r="B99" t="s">
        <v>54</v>
      </c>
      <c r="C99" t="s">
        <v>142</v>
      </c>
      <c r="D99">
        <v>100472</v>
      </c>
      <c r="E99" t="s">
        <v>180</v>
      </c>
      <c r="F99">
        <v>0</v>
      </c>
      <c r="G99">
        <v>0</v>
      </c>
      <c r="H99">
        <v>0</v>
      </c>
      <c r="I99">
        <v>0</v>
      </c>
      <c r="J99">
        <v>0</v>
      </c>
      <c r="K99" t="s">
        <v>109</v>
      </c>
      <c r="L99">
        <v>0</v>
      </c>
      <c r="M99">
        <v>0</v>
      </c>
      <c r="N99">
        <v>0</v>
      </c>
      <c r="O99">
        <v>0</v>
      </c>
    </row>
    <row r="100" spans="1:15" x14ac:dyDescent="0.35">
      <c r="A100" t="s">
        <v>108</v>
      </c>
      <c r="B100" t="s">
        <v>54</v>
      </c>
      <c r="C100" t="s">
        <v>142</v>
      </c>
      <c r="D100">
        <v>100472</v>
      </c>
      <c r="E100" t="s">
        <v>181</v>
      </c>
      <c r="F100">
        <v>0</v>
      </c>
      <c r="G100">
        <v>0</v>
      </c>
      <c r="H100">
        <v>0</v>
      </c>
      <c r="I100">
        <v>0</v>
      </c>
      <c r="J100">
        <v>0</v>
      </c>
      <c r="K100" t="s">
        <v>109</v>
      </c>
      <c r="L100">
        <v>0</v>
      </c>
      <c r="M100">
        <v>0</v>
      </c>
      <c r="N100">
        <v>0</v>
      </c>
      <c r="O100">
        <v>0</v>
      </c>
    </row>
    <row r="101" spans="1:15" x14ac:dyDescent="0.35">
      <c r="A101" t="s">
        <v>108</v>
      </c>
      <c r="B101" t="s">
        <v>54</v>
      </c>
      <c r="C101" t="s">
        <v>142</v>
      </c>
      <c r="D101">
        <v>100472</v>
      </c>
      <c r="E101" t="s">
        <v>182</v>
      </c>
      <c r="F101">
        <v>0</v>
      </c>
      <c r="G101">
        <v>0</v>
      </c>
      <c r="H101">
        <v>0</v>
      </c>
      <c r="I101">
        <v>0</v>
      </c>
      <c r="J101">
        <v>0</v>
      </c>
      <c r="K101" t="s">
        <v>109</v>
      </c>
      <c r="L101">
        <v>0</v>
      </c>
      <c r="M101">
        <v>0</v>
      </c>
      <c r="N101">
        <v>0</v>
      </c>
      <c r="O101">
        <v>0</v>
      </c>
    </row>
    <row r="102" spans="1:15" x14ac:dyDescent="0.35">
      <c r="A102" t="s">
        <v>108</v>
      </c>
      <c r="B102" t="s">
        <v>54</v>
      </c>
      <c r="C102" t="s">
        <v>142</v>
      </c>
      <c r="D102">
        <v>100472</v>
      </c>
      <c r="E102" t="s">
        <v>183</v>
      </c>
      <c r="F102">
        <v>0</v>
      </c>
      <c r="G102">
        <v>0</v>
      </c>
      <c r="H102">
        <v>0</v>
      </c>
      <c r="I102">
        <v>0</v>
      </c>
      <c r="J102">
        <v>0</v>
      </c>
      <c r="K102" t="s">
        <v>109</v>
      </c>
      <c r="L102">
        <v>0</v>
      </c>
      <c r="M102">
        <v>0</v>
      </c>
      <c r="N102">
        <v>0</v>
      </c>
      <c r="O102">
        <v>0</v>
      </c>
    </row>
    <row r="103" spans="1:15" x14ac:dyDescent="0.35">
      <c r="A103" t="s">
        <v>108</v>
      </c>
      <c r="B103" t="s">
        <v>54</v>
      </c>
      <c r="C103" t="s">
        <v>142</v>
      </c>
      <c r="D103">
        <v>100472</v>
      </c>
      <c r="E103" t="s">
        <v>184</v>
      </c>
      <c r="F103">
        <v>0</v>
      </c>
      <c r="G103">
        <v>0</v>
      </c>
      <c r="H103">
        <v>0</v>
      </c>
      <c r="I103">
        <v>0</v>
      </c>
      <c r="J103">
        <v>0</v>
      </c>
      <c r="K103" t="s">
        <v>109</v>
      </c>
      <c r="L103">
        <v>0</v>
      </c>
      <c r="M103">
        <v>0</v>
      </c>
      <c r="N103">
        <v>0</v>
      </c>
      <c r="O103">
        <v>0</v>
      </c>
    </row>
    <row r="104" spans="1:15" x14ac:dyDescent="0.35">
      <c r="A104" t="s">
        <v>108</v>
      </c>
      <c r="B104" t="s">
        <v>54</v>
      </c>
      <c r="C104" t="s">
        <v>142</v>
      </c>
      <c r="D104">
        <v>100472</v>
      </c>
      <c r="E104" t="s">
        <v>185</v>
      </c>
      <c r="F104">
        <v>0</v>
      </c>
      <c r="G104">
        <v>0</v>
      </c>
      <c r="H104">
        <v>0</v>
      </c>
      <c r="I104">
        <v>0</v>
      </c>
      <c r="J104">
        <v>0</v>
      </c>
      <c r="K104" t="s">
        <v>109</v>
      </c>
      <c r="L104">
        <v>0</v>
      </c>
      <c r="M104">
        <v>0</v>
      </c>
      <c r="N104">
        <v>0</v>
      </c>
      <c r="O104">
        <v>0</v>
      </c>
    </row>
    <row r="105" spans="1:15" x14ac:dyDescent="0.35">
      <c r="A105" t="s">
        <v>108</v>
      </c>
      <c r="B105" t="s">
        <v>54</v>
      </c>
      <c r="C105" t="s">
        <v>142</v>
      </c>
      <c r="D105">
        <v>100472</v>
      </c>
      <c r="E105" t="s">
        <v>186</v>
      </c>
      <c r="F105">
        <v>0</v>
      </c>
      <c r="G105">
        <v>0</v>
      </c>
      <c r="H105">
        <v>0</v>
      </c>
      <c r="I105">
        <v>0</v>
      </c>
      <c r="J105">
        <v>0</v>
      </c>
      <c r="K105" t="s">
        <v>109</v>
      </c>
      <c r="L105">
        <v>0</v>
      </c>
      <c r="M105">
        <v>0</v>
      </c>
      <c r="N105">
        <v>0</v>
      </c>
      <c r="O105">
        <v>0</v>
      </c>
    </row>
    <row r="106" spans="1:15" x14ac:dyDescent="0.35">
      <c r="A106" t="s">
        <v>108</v>
      </c>
      <c r="B106" t="s">
        <v>54</v>
      </c>
      <c r="C106" t="s">
        <v>142</v>
      </c>
      <c r="D106">
        <v>100472</v>
      </c>
      <c r="E106" t="s">
        <v>187</v>
      </c>
      <c r="F106">
        <v>0</v>
      </c>
      <c r="G106">
        <v>0</v>
      </c>
      <c r="H106">
        <v>0</v>
      </c>
      <c r="I106">
        <v>0</v>
      </c>
      <c r="J106">
        <v>0</v>
      </c>
      <c r="K106" t="s">
        <v>109</v>
      </c>
      <c r="L106">
        <v>0</v>
      </c>
      <c r="M106">
        <v>0</v>
      </c>
      <c r="N106">
        <v>0</v>
      </c>
      <c r="O106">
        <v>0</v>
      </c>
    </row>
    <row r="107" spans="1:15" x14ac:dyDescent="0.35">
      <c r="A107" t="s">
        <v>108</v>
      </c>
      <c r="B107" t="s">
        <v>54</v>
      </c>
      <c r="C107" t="s">
        <v>142</v>
      </c>
      <c r="D107">
        <v>100472</v>
      </c>
      <c r="E107" t="s">
        <v>188</v>
      </c>
      <c r="F107">
        <v>0</v>
      </c>
      <c r="G107">
        <v>0</v>
      </c>
      <c r="H107">
        <v>0</v>
      </c>
      <c r="I107">
        <v>0</v>
      </c>
      <c r="J107">
        <v>0</v>
      </c>
      <c r="K107" t="s">
        <v>109</v>
      </c>
      <c r="L107">
        <v>0</v>
      </c>
      <c r="M107">
        <v>0</v>
      </c>
      <c r="N107">
        <v>0</v>
      </c>
      <c r="O107">
        <v>0</v>
      </c>
    </row>
    <row r="108" spans="1:15" x14ac:dyDescent="0.35">
      <c r="A108" t="s">
        <v>108</v>
      </c>
      <c r="B108" t="s">
        <v>54</v>
      </c>
      <c r="C108" t="s">
        <v>142</v>
      </c>
      <c r="D108">
        <v>100472</v>
      </c>
      <c r="E108" t="s">
        <v>189</v>
      </c>
      <c r="F108">
        <v>0</v>
      </c>
      <c r="G108">
        <v>0</v>
      </c>
      <c r="H108">
        <v>0</v>
      </c>
      <c r="I108">
        <v>0</v>
      </c>
      <c r="J108">
        <v>0</v>
      </c>
      <c r="K108" t="s">
        <v>109</v>
      </c>
      <c r="L108">
        <v>0</v>
      </c>
      <c r="M108">
        <v>0</v>
      </c>
      <c r="N108">
        <v>0</v>
      </c>
      <c r="O108">
        <v>0</v>
      </c>
    </row>
    <row r="109" spans="1:15" x14ac:dyDescent="0.35">
      <c r="A109" t="s">
        <v>108</v>
      </c>
      <c r="B109" t="s">
        <v>54</v>
      </c>
      <c r="C109" t="s">
        <v>142</v>
      </c>
      <c r="D109">
        <v>100472</v>
      </c>
      <c r="E109" t="s">
        <v>190</v>
      </c>
      <c r="F109">
        <v>0</v>
      </c>
      <c r="G109">
        <v>0</v>
      </c>
      <c r="H109">
        <v>0</v>
      </c>
      <c r="I109">
        <v>0</v>
      </c>
      <c r="J109">
        <v>0</v>
      </c>
      <c r="K109" t="s">
        <v>109</v>
      </c>
      <c r="L109">
        <v>0</v>
      </c>
      <c r="M109">
        <v>0</v>
      </c>
      <c r="N109">
        <v>0</v>
      </c>
      <c r="O109">
        <v>0</v>
      </c>
    </row>
    <row r="110" spans="1:15" x14ac:dyDescent="0.35">
      <c r="A110" t="s">
        <v>108</v>
      </c>
      <c r="B110" t="s">
        <v>54</v>
      </c>
      <c r="C110" t="s">
        <v>142</v>
      </c>
      <c r="D110">
        <v>100472</v>
      </c>
      <c r="E110" t="s">
        <v>191</v>
      </c>
      <c r="F110">
        <v>0</v>
      </c>
      <c r="G110">
        <v>0</v>
      </c>
      <c r="H110">
        <v>0</v>
      </c>
      <c r="I110">
        <v>0</v>
      </c>
      <c r="J110">
        <v>0</v>
      </c>
      <c r="K110" t="s">
        <v>109</v>
      </c>
      <c r="L110">
        <v>0</v>
      </c>
      <c r="M110">
        <v>0</v>
      </c>
      <c r="N110">
        <v>0</v>
      </c>
      <c r="O110">
        <v>0</v>
      </c>
    </row>
    <row r="111" spans="1:15" x14ac:dyDescent="0.35">
      <c r="A111" t="s">
        <v>108</v>
      </c>
      <c r="B111" t="s">
        <v>54</v>
      </c>
      <c r="C111" t="s">
        <v>142</v>
      </c>
      <c r="D111">
        <v>100472</v>
      </c>
      <c r="E111" t="s">
        <v>192</v>
      </c>
      <c r="F111">
        <v>0</v>
      </c>
      <c r="G111">
        <v>0</v>
      </c>
      <c r="H111">
        <v>0</v>
      </c>
      <c r="I111">
        <v>0</v>
      </c>
      <c r="J111">
        <v>0</v>
      </c>
      <c r="K111" t="s">
        <v>109</v>
      </c>
      <c r="L111">
        <v>0</v>
      </c>
      <c r="M111">
        <v>0</v>
      </c>
      <c r="N111">
        <v>0</v>
      </c>
      <c r="O111">
        <v>0</v>
      </c>
    </row>
    <row r="112" spans="1:15" x14ac:dyDescent="0.35">
      <c r="A112" t="s">
        <v>108</v>
      </c>
      <c r="B112" t="s">
        <v>54</v>
      </c>
      <c r="C112" t="s">
        <v>142</v>
      </c>
      <c r="D112">
        <v>100472</v>
      </c>
      <c r="E112" t="s">
        <v>193</v>
      </c>
      <c r="F112">
        <v>0</v>
      </c>
      <c r="G112">
        <v>0</v>
      </c>
      <c r="H112">
        <v>0</v>
      </c>
      <c r="I112">
        <v>0</v>
      </c>
      <c r="J112">
        <v>0</v>
      </c>
      <c r="K112" t="s">
        <v>109</v>
      </c>
      <c r="L112">
        <v>0</v>
      </c>
      <c r="M112">
        <v>0</v>
      </c>
      <c r="N112">
        <v>0</v>
      </c>
      <c r="O112">
        <v>0</v>
      </c>
    </row>
    <row r="113" spans="1:15" x14ac:dyDescent="0.35">
      <c r="A113" t="s">
        <v>108</v>
      </c>
      <c r="B113" t="s">
        <v>54</v>
      </c>
      <c r="C113" t="s">
        <v>142</v>
      </c>
      <c r="D113">
        <v>100472</v>
      </c>
      <c r="E113" t="s">
        <v>194</v>
      </c>
      <c r="F113">
        <v>0</v>
      </c>
      <c r="G113">
        <v>0</v>
      </c>
      <c r="H113">
        <v>0</v>
      </c>
      <c r="I113">
        <v>0</v>
      </c>
      <c r="J113">
        <v>0</v>
      </c>
      <c r="K113" t="s">
        <v>109</v>
      </c>
      <c r="L113">
        <v>0</v>
      </c>
      <c r="M113">
        <v>0</v>
      </c>
      <c r="N113">
        <v>0</v>
      </c>
      <c r="O113">
        <v>0</v>
      </c>
    </row>
    <row r="114" spans="1:15" x14ac:dyDescent="0.35">
      <c r="A114" t="s">
        <v>108</v>
      </c>
      <c r="B114" t="s">
        <v>54</v>
      </c>
      <c r="C114" t="s">
        <v>142</v>
      </c>
      <c r="D114">
        <v>100472</v>
      </c>
      <c r="E114" t="s">
        <v>195</v>
      </c>
      <c r="F114">
        <v>0</v>
      </c>
      <c r="G114">
        <v>0</v>
      </c>
      <c r="H114">
        <v>0</v>
      </c>
      <c r="I114">
        <v>0</v>
      </c>
      <c r="J114">
        <v>0</v>
      </c>
      <c r="K114" t="s">
        <v>109</v>
      </c>
      <c r="L114">
        <v>0</v>
      </c>
      <c r="M114">
        <v>0</v>
      </c>
      <c r="N114">
        <v>0</v>
      </c>
      <c r="O114">
        <v>0</v>
      </c>
    </row>
    <row r="115" spans="1:15" x14ac:dyDescent="0.35">
      <c r="A115" t="s">
        <v>108</v>
      </c>
      <c r="B115" t="s">
        <v>54</v>
      </c>
      <c r="C115" t="s">
        <v>142</v>
      </c>
      <c r="D115">
        <v>100472</v>
      </c>
      <c r="E115" t="s">
        <v>196</v>
      </c>
      <c r="F115">
        <v>0</v>
      </c>
      <c r="G115">
        <v>0</v>
      </c>
      <c r="H115">
        <v>0</v>
      </c>
      <c r="I115">
        <v>0</v>
      </c>
      <c r="J115">
        <v>0</v>
      </c>
      <c r="K115" t="s">
        <v>109</v>
      </c>
      <c r="L115">
        <v>0</v>
      </c>
      <c r="M115">
        <v>0</v>
      </c>
      <c r="N115">
        <v>0</v>
      </c>
      <c r="O115">
        <v>0</v>
      </c>
    </row>
    <row r="116" spans="1:15" x14ac:dyDescent="0.35">
      <c r="A116" t="s">
        <v>108</v>
      </c>
      <c r="B116" t="s">
        <v>54</v>
      </c>
      <c r="C116" t="s">
        <v>142</v>
      </c>
      <c r="D116">
        <v>100472</v>
      </c>
      <c r="E116" t="s">
        <v>197</v>
      </c>
      <c r="F116">
        <v>0</v>
      </c>
      <c r="G116">
        <v>0</v>
      </c>
      <c r="H116">
        <v>0</v>
      </c>
      <c r="I116">
        <v>0</v>
      </c>
      <c r="J116">
        <v>0</v>
      </c>
      <c r="K116" t="s">
        <v>109</v>
      </c>
      <c r="L116">
        <v>0</v>
      </c>
      <c r="M116">
        <v>0</v>
      </c>
      <c r="N116">
        <v>0</v>
      </c>
      <c r="O116">
        <v>0</v>
      </c>
    </row>
    <row r="117" spans="1:15" x14ac:dyDescent="0.35">
      <c r="A117" t="s">
        <v>108</v>
      </c>
      <c r="B117" t="s">
        <v>54</v>
      </c>
      <c r="C117" t="s">
        <v>142</v>
      </c>
      <c r="D117">
        <v>100472</v>
      </c>
      <c r="E117" t="s">
        <v>198</v>
      </c>
      <c r="F117">
        <v>0</v>
      </c>
      <c r="G117">
        <v>0</v>
      </c>
      <c r="H117">
        <v>0</v>
      </c>
      <c r="I117">
        <v>0</v>
      </c>
      <c r="J117">
        <v>0</v>
      </c>
      <c r="K117" t="s">
        <v>109</v>
      </c>
      <c r="L117">
        <v>0</v>
      </c>
      <c r="M117">
        <v>0</v>
      </c>
      <c r="N117">
        <v>0</v>
      </c>
      <c r="O117">
        <v>0</v>
      </c>
    </row>
    <row r="118" spans="1:15" x14ac:dyDescent="0.35">
      <c r="A118" t="s">
        <v>108</v>
      </c>
      <c r="B118" t="s">
        <v>54</v>
      </c>
      <c r="C118" t="s">
        <v>142</v>
      </c>
      <c r="D118">
        <v>100472</v>
      </c>
      <c r="E118" t="s">
        <v>199</v>
      </c>
      <c r="F118">
        <v>0</v>
      </c>
      <c r="G118">
        <v>0</v>
      </c>
      <c r="H118">
        <v>0</v>
      </c>
      <c r="I118">
        <v>0</v>
      </c>
      <c r="J118">
        <v>0</v>
      </c>
      <c r="K118" t="s">
        <v>109</v>
      </c>
      <c r="L118">
        <v>0</v>
      </c>
      <c r="M118">
        <v>0</v>
      </c>
      <c r="N118">
        <v>0</v>
      </c>
      <c r="O118">
        <v>0</v>
      </c>
    </row>
    <row r="119" spans="1:15" x14ac:dyDescent="0.35">
      <c r="A119" t="s">
        <v>108</v>
      </c>
      <c r="B119" t="s">
        <v>54</v>
      </c>
      <c r="C119" t="s">
        <v>142</v>
      </c>
      <c r="D119">
        <v>100472</v>
      </c>
      <c r="E119" t="s">
        <v>200</v>
      </c>
      <c r="F119">
        <v>0</v>
      </c>
      <c r="G119">
        <v>0</v>
      </c>
      <c r="H119">
        <v>0</v>
      </c>
      <c r="I119">
        <v>0</v>
      </c>
      <c r="J119">
        <v>0</v>
      </c>
      <c r="K119" t="s">
        <v>109</v>
      </c>
      <c r="L119">
        <v>0</v>
      </c>
      <c r="M119">
        <v>0</v>
      </c>
      <c r="N119">
        <v>0</v>
      </c>
      <c r="O119">
        <v>0</v>
      </c>
    </row>
    <row r="120" spans="1:15" x14ac:dyDescent="0.35">
      <c r="A120" t="s">
        <v>108</v>
      </c>
      <c r="B120" t="s">
        <v>54</v>
      </c>
      <c r="C120" t="s">
        <v>142</v>
      </c>
      <c r="D120">
        <v>100472</v>
      </c>
      <c r="E120" t="s">
        <v>201</v>
      </c>
      <c r="F120">
        <v>0</v>
      </c>
      <c r="G120">
        <v>0</v>
      </c>
      <c r="H120">
        <v>0</v>
      </c>
      <c r="I120">
        <v>0</v>
      </c>
      <c r="J120">
        <v>0</v>
      </c>
      <c r="K120" t="s">
        <v>109</v>
      </c>
      <c r="L120">
        <v>0</v>
      </c>
      <c r="M120">
        <v>0</v>
      </c>
      <c r="N120">
        <v>0</v>
      </c>
      <c r="O120">
        <v>0</v>
      </c>
    </row>
    <row r="121" spans="1:15" x14ac:dyDescent="0.35">
      <c r="A121" t="s">
        <v>108</v>
      </c>
      <c r="B121" t="s">
        <v>54</v>
      </c>
      <c r="C121" t="s">
        <v>142</v>
      </c>
      <c r="D121">
        <v>100472</v>
      </c>
      <c r="E121" t="s">
        <v>202</v>
      </c>
      <c r="F121">
        <v>0</v>
      </c>
      <c r="G121">
        <v>0</v>
      </c>
      <c r="H121">
        <v>0</v>
      </c>
      <c r="I121">
        <v>0</v>
      </c>
      <c r="J121">
        <v>0</v>
      </c>
      <c r="K121" t="s">
        <v>109</v>
      </c>
      <c r="L121">
        <v>0</v>
      </c>
      <c r="M121">
        <v>0</v>
      </c>
      <c r="N121">
        <v>0</v>
      </c>
      <c r="O121">
        <v>0</v>
      </c>
    </row>
    <row r="122" spans="1:15" x14ac:dyDescent="0.35">
      <c r="A122" t="s">
        <v>108</v>
      </c>
      <c r="B122" t="s">
        <v>54</v>
      </c>
      <c r="C122" t="s">
        <v>142</v>
      </c>
      <c r="D122">
        <v>100472</v>
      </c>
      <c r="E122" t="s">
        <v>203</v>
      </c>
      <c r="F122">
        <v>0</v>
      </c>
      <c r="G122">
        <v>0</v>
      </c>
      <c r="H122">
        <v>0</v>
      </c>
      <c r="I122">
        <v>0</v>
      </c>
      <c r="J122">
        <v>0</v>
      </c>
      <c r="K122" t="s">
        <v>109</v>
      </c>
      <c r="L122">
        <v>0</v>
      </c>
      <c r="M122">
        <v>0</v>
      </c>
      <c r="N122">
        <v>0</v>
      </c>
      <c r="O122">
        <v>0</v>
      </c>
    </row>
    <row r="123" spans="1:15" x14ac:dyDescent="0.35">
      <c r="A123" t="s">
        <v>108</v>
      </c>
      <c r="B123" t="s">
        <v>54</v>
      </c>
      <c r="C123" t="s">
        <v>142</v>
      </c>
      <c r="D123">
        <v>100472</v>
      </c>
      <c r="E123" t="s">
        <v>204</v>
      </c>
      <c r="F123">
        <v>0</v>
      </c>
      <c r="G123">
        <v>0</v>
      </c>
      <c r="H123">
        <v>0</v>
      </c>
      <c r="I123">
        <v>0</v>
      </c>
      <c r="J123">
        <v>0</v>
      </c>
      <c r="K123" t="s">
        <v>109</v>
      </c>
      <c r="L123">
        <v>0</v>
      </c>
      <c r="M123">
        <v>0</v>
      </c>
      <c r="N123">
        <v>0</v>
      </c>
      <c r="O123">
        <v>0</v>
      </c>
    </row>
    <row r="124" spans="1:15" x14ac:dyDescent="0.35">
      <c r="A124" t="s">
        <v>108</v>
      </c>
      <c r="B124" t="s">
        <v>54</v>
      </c>
      <c r="C124" t="s">
        <v>142</v>
      </c>
      <c r="D124">
        <v>100472</v>
      </c>
      <c r="E124" t="s">
        <v>205</v>
      </c>
      <c r="F124">
        <v>0</v>
      </c>
      <c r="G124">
        <v>0</v>
      </c>
      <c r="H124">
        <v>0</v>
      </c>
      <c r="I124">
        <v>0</v>
      </c>
      <c r="J124">
        <v>0</v>
      </c>
      <c r="K124" t="s">
        <v>109</v>
      </c>
      <c r="L124">
        <v>0</v>
      </c>
      <c r="M124">
        <v>0</v>
      </c>
      <c r="N124">
        <v>0</v>
      </c>
      <c r="O124">
        <v>0</v>
      </c>
    </row>
    <row r="125" spans="1:15" x14ac:dyDescent="0.35">
      <c r="A125" t="s">
        <v>108</v>
      </c>
      <c r="B125" t="s">
        <v>54</v>
      </c>
      <c r="C125" t="s">
        <v>142</v>
      </c>
      <c r="D125">
        <v>100472</v>
      </c>
      <c r="E125" t="s">
        <v>206</v>
      </c>
      <c r="F125">
        <v>0</v>
      </c>
      <c r="G125">
        <v>0</v>
      </c>
      <c r="H125">
        <v>0</v>
      </c>
      <c r="I125">
        <v>0</v>
      </c>
      <c r="J125">
        <v>0</v>
      </c>
      <c r="K125" t="s">
        <v>109</v>
      </c>
      <c r="L125">
        <v>0</v>
      </c>
      <c r="M125">
        <v>0</v>
      </c>
      <c r="N125">
        <v>0</v>
      </c>
      <c r="O125">
        <v>0</v>
      </c>
    </row>
    <row r="126" spans="1:15" x14ac:dyDescent="0.35">
      <c r="A126" t="s">
        <v>108</v>
      </c>
      <c r="B126" t="s">
        <v>54</v>
      </c>
      <c r="C126" t="s">
        <v>142</v>
      </c>
      <c r="D126">
        <v>100472</v>
      </c>
      <c r="E126" t="s">
        <v>207</v>
      </c>
      <c r="F126">
        <v>0</v>
      </c>
      <c r="G126">
        <v>0</v>
      </c>
      <c r="H126">
        <v>0</v>
      </c>
      <c r="I126">
        <v>0</v>
      </c>
      <c r="J126">
        <v>0</v>
      </c>
      <c r="K126" t="s">
        <v>109</v>
      </c>
      <c r="L126">
        <v>0</v>
      </c>
      <c r="M126">
        <v>0</v>
      </c>
      <c r="N126">
        <v>0</v>
      </c>
      <c r="O126">
        <v>0</v>
      </c>
    </row>
    <row r="127" spans="1:15" x14ac:dyDescent="0.35">
      <c r="A127" t="s">
        <v>108</v>
      </c>
      <c r="B127" t="s">
        <v>54</v>
      </c>
      <c r="C127" t="s">
        <v>142</v>
      </c>
      <c r="D127">
        <v>100472</v>
      </c>
      <c r="E127" t="s">
        <v>208</v>
      </c>
      <c r="F127">
        <v>0</v>
      </c>
      <c r="G127">
        <v>0</v>
      </c>
      <c r="H127">
        <v>0</v>
      </c>
      <c r="I127">
        <v>0</v>
      </c>
      <c r="J127">
        <v>0</v>
      </c>
      <c r="K127" t="s">
        <v>109</v>
      </c>
      <c r="L127">
        <v>0</v>
      </c>
      <c r="M127">
        <v>0</v>
      </c>
      <c r="N127">
        <v>0</v>
      </c>
      <c r="O127">
        <v>0</v>
      </c>
    </row>
    <row r="128" spans="1:15" x14ac:dyDescent="0.35">
      <c r="A128" t="s">
        <v>108</v>
      </c>
      <c r="B128" t="s">
        <v>54</v>
      </c>
      <c r="C128" t="s">
        <v>142</v>
      </c>
      <c r="D128">
        <v>100472</v>
      </c>
      <c r="E128" t="s">
        <v>209</v>
      </c>
      <c r="F128">
        <v>0</v>
      </c>
      <c r="G128">
        <v>0</v>
      </c>
      <c r="H128">
        <v>0</v>
      </c>
      <c r="I128">
        <v>0</v>
      </c>
      <c r="J128">
        <v>0</v>
      </c>
      <c r="K128" t="s">
        <v>109</v>
      </c>
      <c r="L128">
        <v>0</v>
      </c>
      <c r="M128">
        <v>0</v>
      </c>
      <c r="N128">
        <v>0</v>
      </c>
      <c r="O128">
        <v>0</v>
      </c>
    </row>
    <row r="129" spans="1:15" x14ac:dyDescent="0.35">
      <c r="A129" t="s">
        <v>108</v>
      </c>
      <c r="B129" t="s">
        <v>54</v>
      </c>
      <c r="C129" t="s">
        <v>142</v>
      </c>
      <c r="D129">
        <v>100472</v>
      </c>
      <c r="E129" t="s">
        <v>210</v>
      </c>
      <c r="F129">
        <v>0</v>
      </c>
      <c r="G129">
        <v>0</v>
      </c>
      <c r="H129">
        <v>0</v>
      </c>
      <c r="I129">
        <v>0</v>
      </c>
      <c r="J129">
        <v>0</v>
      </c>
      <c r="K129" t="s">
        <v>109</v>
      </c>
      <c r="L129">
        <v>0</v>
      </c>
      <c r="M129">
        <v>0</v>
      </c>
      <c r="N129">
        <v>0</v>
      </c>
      <c r="O129">
        <v>0</v>
      </c>
    </row>
    <row r="130" spans="1:15" x14ac:dyDescent="0.35">
      <c r="A130" t="s">
        <v>108</v>
      </c>
      <c r="B130" t="s">
        <v>54</v>
      </c>
      <c r="C130" t="s">
        <v>142</v>
      </c>
      <c r="D130">
        <v>100472</v>
      </c>
      <c r="E130" t="s">
        <v>211</v>
      </c>
      <c r="F130">
        <v>0</v>
      </c>
      <c r="G130">
        <v>0</v>
      </c>
      <c r="H130">
        <v>0</v>
      </c>
      <c r="I130">
        <v>0</v>
      </c>
      <c r="J130">
        <v>0</v>
      </c>
      <c r="K130" t="s">
        <v>109</v>
      </c>
      <c r="L130">
        <v>0</v>
      </c>
      <c r="M130">
        <v>0</v>
      </c>
      <c r="N130">
        <v>0</v>
      </c>
      <c r="O130">
        <v>0</v>
      </c>
    </row>
    <row r="131" spans="1:15" x14ac:dyDescent="0.35">
      <c r="A131" t="s">
        <v>108</v>
      </c>
      <c r="B131" t="s">
        <v>54</v>
      </c>
      <c r="C131" t="s">
        <v>142</v>
      </c>
      <c r="D131">
        <v>100472</v>
      </c>
      <c r="E131" t="s">
        <v>212</v>
      </c>
      <c r="F131">
        <v>0</v>
      </c>
      <c r="G131">
        <v>0</v>
      </c>
      <c r="H131">
        <v>0</v>
      </c>
      <c r="I131">
        <v>0</v>
      </c>
      <c r="J131">
        <v>0</v>
      </c>
      <c r="K131" t="s">
        <v>109</v>
      </c>
      <c r="L131">
        <v>0</v>
      </c>
      <c r="M131">
        <v>0</v>
      </c>
      <c r="N131">
        <v>0</v>
      </c>
      <c r="O131">
        <v>0</v>
      </c>
    </row>
    <row r="132" spans="1:15" x14ac:dyDescent="0.35">
      <c r="A132" t="s">
        <v>108</v>
      </c>
      <c r="B132" t="s">
        <v>54</v>
      </c>
      <c r="C132" t="s">
        <v>26</v>
      </c>
      <c r="D132">
        <v>100463</v>
      </c>
      <c r="F132">
        <v>1159</v>
      </c>
      <c r="G132">
        <v>11856</v>
      </c>
      <c r="H132">
        <v>5.4430555555555502</v>
      </c>
      <c r="I132">
        <v>212.931870375095</v>
      </c>
      <c r="J132">
        <v>2178.1883133452402</v>
      </c>
      <c r="K132" t="s">
        <v>109</v>
      </c>
      <c r="L132">
        <v>0</v>
      </c>
      <c r="M132">
        <v>0</v>
      </c>
      <c r="N132">
        <v>0</v>
      </c>
      <c r="O132">
        <v>-5.4430555555555502</v>
      </c>
    </row>
    <row r="133" spans="1:15" x14ac:dyDescent="0.35">
      <c r="A133" t="s">
        <v>108</v>
      </c>
      <c r="B133" t="s">
        <v>54</v>
      </c>
      <c r="C133" t="s">
        <v>10</v>
      </c>
      <c r="D133">
        <v>100411</v>
      </c>
      <c r="F133">
        <v>1159</v>
      </c>
      <c r="G133">
        <v>11856</v>
      </c>
      <c r="H133">
        <v>30.522499999999901</v>
      </c>
      <c r="I133">
        <v>37.971987877795002</v>
      </c>
      <c r="J133">
        <v>388.43476124170598</v>
      </c>
      <c r="K133" t="s">
        <v>109</v>
      </c>
      <c r="L133">
        <v>361.24999999999898</v>
      </c>
      <c r="M133">
        <v>3.2083044982698898</v>
      </c>
      <c r="N133">
        <v>10.5112769211889</v>
      </c>
      <c r="O133">
        <v>-27.314195501730101</v>
      </c>
    </row>
    <row r="134" spans="1:15" x14ac:dyDescent="0.35">
      <c r="A134" t="s">
        <v>108</v>
      </c>
      <c r="B134" t="s">
        <v>54</v>
      </c>
      <c r="C134" t="s">
        <v>11</v>
      </c>
      <c r="D134">
        <v>100410</v>
      </c>
      <c r="F134">
        <v>1159</v>
      </c>
      <c r="G134">
        <v>11856</v>
      </c>
      <c r="H134">
        <v>4.36666666666666</v>
      </c>
      <c r="I134">
        <v>265.41984732824397</v>
      </c>
      <c r="J134">
        <v>2715.1145038167901</v>
      </c>
      <c r="K134" t="s">
        <v>109</v>
      </c>
      <c r="L134">
        <v>361.24999999999898</v>
      </c>
      <c r="M134">
        <v>3.2083044982698898</v>
      </c>
      <c r="N134">
        <v>73.472622097783798</v>
      </c>
      <c r="O134">
        <v>-1.15836216839677</v>
      </c>
    </row>
    <row r="135" spans="1:15" x14ac:dyDescent="0.35">
      <c r="A135" t="s">
        <v>108</v>
      </c>
      <c r="B135" t="s">
        <v>54</v>
      </c>
      <c r="C135" t="s">
        <v>12</v>
      </c>
      <c r="D135">
        <v>100412</v>
      </c>
      <c r="F135">
        <v>0</v>
      </c>
      <c r="G135">
        <v>0</v>
      </c>
      <c r="H135">
        <v>3.05</v>
      </c>
      <c r="I135">
        <v>0</v>
      </c>
      <c r="J135">
        <v>0</v>
      </c>
      <c r="K135" t="s">
        <v>5</v>
      </c>
      <c r="L135">
        <v>0</v>
      </c>
      <c r="M135">
        <v>0.66354166666666603</v>
      </c>
      <c r="N135">
        <v>21.755464480874299</v>
      </c>
      <c r="O135">
        <v>-2.38645833333333</v>
      </c>
    </row>
    <row r="136" spans="1:15" x14ac:dyDescent="0.35">
      <c r="A136" t="s">
        <v>108</v>
      </c>
      <c r="B136" t="s">
        <v>54</v>
      </c>
      <c r="C136" t="s">
        <v>62</v>
      </c>
      <c r="D136">
        <v>100462</v>
      </c>
      <c r="F136">
        <v>1159</v>
      </c>
      <c r="G136">
        <v>11856</v>
      </c>
      <c r="H136">
        <v>105.418055555555</v>
      </c>
      <c r="I136">
        <v>10.9943215504407</v>
      </c>
      <c r="J136">
        <v>112.466502417622</v>
      </c>
      <c r="K136" t="s">
        <v>109</v>
      </c>
      <c r="L136">
        <v>0</v>
      </c>
      <c r="M136">
        <v>0</v>
      </c>
      <c r="N136">
        <v>0</v>
      </c>
      <c r="O136">
        <v>-105.418055555555</v>
      </c>
    </row>
    <row r="137" spans="1:15" hidden="1" x14ac:dyDescent="0.35">
      <c r="A137" t="s">
        <v>108</v>
      </c>
      <c r="B137" t="s">
        <v>55</v>
      </c>
      <c r="C137" t="s">
        <v>63</v>
      </c>
      <c r="D137">
        <v>100464</v>
      </c>
      <c r="F137">
        <v>0</v>
      </c>
      <c r="G137">
        <v>0</v>
      </c>
      <c r="H137">
        <v>8.5</v>
      </c>
      <c r="I137">
        <v>0</v>
      </c>
      <c r="J137">
        <v>0</v>
      </c>
      <c r="K137" t="s">
        <v>109</v>
      </c>
      <c r="L137">
        <v>0</v>
      </c>
      <c r="M137">
        <v>0</v>
      </c>
      <c r="N137">
        <v>0</v>
      </c>
      <c r="O137">
        <v>-8.5</v>
      </c>
    </row>
    <row r="138" spans="1:15" hidden="1" x14ac:dyDescent="0.35">
      <c r="A138" t="s">
        <v>108</v>
      </c>
      <c r="B138" t="s">
        <v>55</v>
      </c>
      <c r="C138" t="s">
        <v>16</v>
      </c>
      <c r="D138">
        <v>100465</v>
      </c>
      <c r="F138">
        <v>0</v>
      </c>
      <c r="G138">
        <v>0</v>
      </c>
      <c r="H138">
        <v>33.814166666666601</v>
      </c>
      <c r="I138">
        <v>0</v>
      </c>
      <c r="J138">
        <v>0</v>
      </c>
      <c r="K138" t="s">
        <v>109</v>
      </c>
      <c r="L138">
        <v>0</v>
      </c>
      <c r="M138">
        <v>0</v>
      </c>
      <c r="N138">
        <v>0</v>
      </c>
      <c r="O138">
        <v>-33.814166666666601</v>
      </c>
    </row>
    <row r="139" spans="1:15" hidden="1" x14ac:dyDescent="0.35">
      <c r="A139" t="s">
        <v>0</v>
      </c>
      <c r="B139" t="s">
        <v>0</v>
      </c>
      <c r="C139" t="s">
        <v>64</v>
      </c>
      <c r="D139">
        <v>100426</v>
      </c>
      <c r="F139">
        <v>0</v>
      </c>
      <c r="G139">
        <v>0</v>
      </c>
      <c r="H139">
        <v>0</v>
      </c>
      <c r="I139">
        <v>0</v>
      </c>
      <c r="J139">
        <v>0</v>
      </c>
      <c r="K139" t="s">
        <v>5</v>
      </c>
      <c r="L139">
        <v>0</v>
      </c>
      <c r="M139">
        <v>0.81458333333333299</v>
      </c>
      <c r="N139">
        <v>0</v>
      </c>
      <c r="O139">
        <v>0.81458333333333299</v>
      </c>
    </row>
    <row r="140" spans="1:15" hidden="1" x14ac:dyDescent="0.35">
      <c r="A140" t="s">
        <v>56</v>
      </c>
      <c r="B140" t="s">
        <v>56</v>
      </c>
      <c r="C140" t="s">
        <v>65</v>
      </c>
      <c r="D140">
        <v>100427</v>
      </c>
      <c r="F140">
        <v>0</v>
      </c>
      <c r="G140">
        <v>0</v>
      </c>
      <c r="H140">
        <v>9.5247222222222199</v>
      </c>
      <c r="I140">
        <v>0</v>
      </c>
      <c r="J140">
        <v>0</v>
      </c>
      <c r="K140" t="s">
        <v>5</v>
      </c>
      <c r="L140">
        <v>0</v>
      </c>
      <c r="M140">
        <v>1.1854166666666599</v>
      </c>
      <c r="N140">
        <v>12.445682288780599</v>
      </c>
      <c r="O140">
        <v>-8.3393055555555495</v>
      </c>
    </row>
    <row r="141" spans="1:15" hidden="1" x14ac:dyDescent="0.35">
      <c r="A141" t="s">
        <v>56</v>
      </c>
      <c r="B141" t="s">
        <v>56</v>
      </c>
      <c r="C141" t="s">
        <v>66</v>
      </c>
      <c r="D141">
        <v>100428</v>
      </c>
      <c r="F141">
        <v>0</v>
      </c>
      <c r="G141">
        <v>0</v>
      </c>
      <c r="H141">
        <v>17.4166666666666</v>
      </c>
      <c r="I141">
        <v>0</v>
      </c>
      <c r="J141">
        <v>0</v>
      </c>
      <c r="K141" t="s">
        <v>5</v>
      </c>
      <c r="L141">
        <v>0</v>
      </c>
      <c r="M141">
        <v>6.1458333333333302E-2</v>
      </c>
      <c r="N141">
        <v>0.352870813397129</v>
      </c>
      <c r="O141">
        <v>-17.355208333333302</v>
      </c>
    </row>
    <row r="142" spans="1:15" hidden="1" x14ac:dyDescent="0.35">
      <c r="A142" t="s">
        <v>56</v>
      </c>
      <c r="B142" t="s">
        <v>56</v>
      </c>
      <c r="C142" t="s">
        <v>31</v>
      </c>
      <c r="D142">
        <v>100429</v>
      </c>
      <c r="F142">
        <v>0</v>
      </c>
      <c r="G142">
        <v>0</v>
      </c>
      <c r="H142">
        <v>30.864444444444398</v>
      </c>
      <c r="I142">
        <v>0</v>
      </c>
      <c r="J142">
        <v>0</v>
      </c>
      <c r="K142" t="s">
        <v>5</v>
      </c>
      <c r="L142">
        <v>0</v>
      </c>
      <c r="M142">
        <v>0.71250000000000002</v>
      </c>
      <c r="N142">
        <v>2.3084815321477401</v>
      </c>
      <c r="O142">
        <v>-30.1519444444444</v>
      </c>
    </row>
    <row r="143" spans="1:15" hidden="1" x14ac:dyDescent="0.35">
      <c r="A143" t="s">
        <v>56</v>
      </c>
      <c r="B143" t="s">
        <v>56</v>
      </c>
      <c r="C143" t="s">
        <v>67</v>
      </c>
      <c r="D143">
        <v>100466</v>
      </c>
      <c r="F143">
        <v>0</v>
      </c>
      <c r="G143">
        <v>0</v>
      </c>
      <c r="H143">
        <v>2</v>
      </c>
      <c r="I143">
        <v>0</v>
      </c>
      <c r="J143">
        <v>0</v>
      </c>
      <c r="K143" t="s">
        <v>109</v>
      </c>
      <c r="L143">
        <v>0</v>
      </c>
      <c r="M143">
        <v>0</v>
      </c>
      <c r="N143">
        <v>0</v>
      </c>
      <c r="O143">
        <v>-2</v>
      </c>
    </row>
    <row r="144" spans="1:15" hidden="1" x14ac:dyDescent="0.35">
      <c r="A144" t="s">
        <v>57</v>
      </c>
      <c r="B144" t="s">
        <v>57</v>
      </c>
      <c r="C144" t="s">
        <v>68</v>
      </c>
      <c r="D144">
        <v>100467</v>
      </c>
      <c r="F144">
        <v>0</v>
      </c>
      <c r="G144">
        <v>0</v>
      </c>
      <c r="H144">
        <v>0</v>
      </c>
      <c r="I144">
        <v>0</v>
      </c>
      <c r="J144">
        <v>0</v>
      </c>
      <c r="K144" t="s">
        <v>109</v>
      </c>
      <c r="L144">
        <v>0</v>
      </c>
      <c r="M144">
        <v>0</v>
      </c>
      <c r="N144">
        <v>0</v>
      </c>
      <c r="O144">
        <v>0</v>
      </c>
    </row>
    <row r="145" spans="1:15" hidden="1" x14ac:dyDescent="0.35">
      <c r="A145" t="s">
        <v>57</v>
      </c>
      <c r="B145" t="s">
        <v>57</v>
      </c>
      <c r="C145" t="s">
        <v>69</v>
      </c>
      <c r="D145">
        <v>100468</v>
      </c>
      <c r="F145">
        <v>0</v>
      </c>
      <c r="G145">
        <v>0</v>
      </c>
      <c r="H145">
        <v>0</v>
      </c>
      <c r="I145">
        <v>0</v>
      </c>
      <c r="J145">
        <v>0</v>
      </c>
      <c r="K145" t="s">
        <v>109</v>
      </c>
      <c r="L145">
        <v>0</v>
      </c>
      <c r="M145">
        <v>0</v>
      </c>
      <c r="N145">
        <v>0</v>
      </c>
      <c r="O145">
        <v>0</v>
      </c>
    </row>
    <row r="146" spans="1:15" hidden="1" x14ac:dyDescent="0.35">
      <c r="A146" t="s">
        <v>57</v>
      </c>
      <c r="B146" t="s">
        <v>57</v>
      </c>
      <c r="C146" t="s">
        <v>70</v>
      </c>
      <c r="D146">
        <v>100469</v>
      </c>
      <c r="F146">
        <v>0</v>
      </c>
      <c r="G146">
        <v>0</v>
      </c>
      <c r="H146">
        <v>2</v>
      </c>
      <c r="I146">
        <v>0</v>
      </c>
      <c r="J146">
        <v>0</v>
      </c>
      <c r="K146" t="s">
        <v>109</v>
      </c>
      <c r="L146">
        <v>0</v>
      </c>
      <c r="M146">
        <v>0</v>
      </c>
      <c r="N146">
        <v>0</v>
      </c>
      <c r="O146">
        <v>-2</v>
      </c>
    </row>
    <row r="147" spans="1:15" hidden="1" x14ac:dyDescent="0.35">
      <c r="A147" t="s">
        <v>58</v>
      </c>
      <c r="B147" t="s">
        <v>58</v>
      </c>
      <c r="C147" t="s">
        <v>71</v>
      </c>
      <c r="D147">
        <v>100453</v>
      </c>
      <c r="F147">
        <v>0</v>
      </c>
      <c r="G147">
        <v>0</v>
      </c>
      <c r="H147">
        <v>2.5</v>
      </c>
      <c r="I147">
        <v>0</v>
      </c>
      <c r="J147">
        <v>0</v>
      </c>
      <c r="K147" t="s">
        <v>109</v>
      </c>
      <c r="L147">
        <v>0</v>
      </c>
      <c r="M147">
        <v>0</v>
      </c>
      <c r="N147">
        <v>0</v>
      </c>
      <c r="O147">
        <v>-2.5</v>
      </c>
    </row>
    <row r="148" spans="1:15" hidden="1" x14ac:dyDescent="0.35">
      <c r="A148" t="s">
        <v>58</v>
      </c>
      <c r="B148" t="s">
        <v>58</v>
      </c>
      <c r="C148" t="s">
        <v>72</v>
      </c>
      <c r="D148">
        <v>100454</v>
      </c>
      <c r="F148">
        <v>0</v>
      </c>
      <c r="G148">
        <v>0</v>
      </c>
      <c r="H148">
        <v>8.2833333333333297</v>
      </c>
      <c r="I148">
        <v>0</v>
      </c>
      <c r="J148">
        <v>0</v>
      </c>
      <c r="K148" t="s">
        <v>109</v>
      </c>
      <c r="L148">
        <v>0</v>
      </c>
      <c r="M148">
        <v>0</v>
      </c>
      <c r="N148">
        <v>0</v>
      </c>
      <c r="O148">
        <v>-8.2833333333333297</v>
      </c>
    </row>
    <row r="149" spans="1:15" hidden="1" x14ac:dyDescent="0.35">
      <c r="A149" t="s">
        <v>59</v>
      </c>
      <c r="B149" t="s">
        <v>59</v>
      </c>
      <c r="C149" t="s">
        <v>73</v>
      </c>
      <c r="D149">
        <v>100436</v>
      </c>
      <c r="F149">
        <v>0</v>
      </c>
      <c r="G149">
        <v>0</v>
      </c>
      <c r="H149">
        <v>0</v>
      </c>
      <c r="I149">
        <v>0</v>
      </c>
      <c r="J149">
        <v>0</v>
      </c>
      <c r="K149" t="s">
        <v>109</v>
      </c>
      <c r="L149">
        <v>0</v>
      </c>
      <c r="M149">
        <v>0</v>
      </c>
      <c r="N149">
        <v>0</v>
      </c>
      <c r="O149">
        <v>0</v>
      </c>
    </row>
    <row r="150" spans="1:15" hidden="1" x14ac:dyDescent="0.35">
      <c r="A150" t="s">
        <v>59</v>
      </c>
      <c r="B150" t="s">
        <v>59</v>
      </c>
      <c r="C150" t="s">
        <v>74</v>
      </c>
      <c r="D150">
        <v>100470</v>
      </c>
      <c r="F150">
        <v>0</v>
      </c>
      <c r="G150">
        <v>0</v>
      </c>
      <c r="H150">
        <v>2.2000000000000002</v>
      </c>
      <c r="I150">
        <v>0</v>
      </c>
      <c r="J150">
        <v>0</v>
      </c>
      <c r="K150" t="s">
        <v>109</v>
      </c>
      <c r="L150">
        <v>0</v>
      </c>
      <c r="M150">
        <v>0</v>
      </c>
      <c r="N150">
        <v>0</v>
      </c>
      <c r="O150">
        <v>-2.2000000000000002</v>
      </c>
    </row>
    <row r="151" spans="1:15" hidden="1" x14ac:dyDescent="0.35">
      <c r="A151" t="s">
        <v>59</v>
      </c>
      <c r="B151" t="s">
        <v>59</v>
      </c>
      <c r="C151" t="s">
        <v>75</v>
      </c>
      <c r="D151">
        <v>100439</v>
      </c>
      <c r="F151">
        <v>0</v>
      </c>
      <c r="G151">
        <v>0</v>
      </c>
      <c r="H151">
        <v>0</v>
      </c>
      <c r="I151">
        <v>0</v>
      </c>
      <c r="J151">
        <v>0</v>
      </c>
      <c r="K151" t="s">
        <v>109</v>
      </c>
      <c r="L151">
        <v>0</v>
      </c>
      <c r="M151">
        <v>0</v>
      </c>
      <c r="N151">
        <v>0</v>
      </c>
      <c r="O151">
        <v>0</v>
      </c>
    </row>
    <row r="152" spans="1:15" hidden="1" x14ac:dyDescent="0.35">
      <c r="A152" t="s">
        <v>213</v>
      </c>
      <c r="B152" t="s">
        <v>213</v>
      </c>
      <c r="C152" t="s">
        <v>214</v>
      </c>
      <c r="D152">
        <v>100471</v>
      </c>
      <c r="E152" t="s">
        <v>143</v>
      </c>
      <c r="F152">
        <v>0</v>
      </c>
      <c r="G152">
        <v>0</v>
      </c>
      <c r="H152">
        <v>0</v>
      </c>
      <c r="I152">
        <v>0</v>
      </c>
      <c r="J152">
        <v>0</v>
      </c>
      <c r="K152" t="s">
        <v>109</v>
      </c>
      <c r="L152">
        <v>0</v>
      </c>
      <c r="M152">
        <v>0</v>
      </c>
      <c r="N152">
        <v>0</v>
      </c>
      <c r="O152">
        <v>0</v>
      </c>
    </row>
    <row r="153" spans="1:15" hidden="1" x14ac:dyDescent="0.35">
      <c r="A153" t="s">
        <v>213</v>
      </c>
      <c r="B153" t="s">
        <v>213</v>
      </c>
      <c r="C153" t="s">
        <v>214</v>
      </c>
      <c r="D153">
        <v>100471</v>
      </c>
      <c r="E153" t="s">
        <v>144</v>
      </c>
      <c r="F153">
        <v>0</v>
      </c>
      <c r="G153">
        <v>0</v>
      </c>
      <c r="H153">
        <v>0</v>
      </c>
      <c r="I153">
        <v>0</v>
      </c>
      <c r="J153">
        <v>0</v>
      </c>
      <c r="K153" t="s">
        <v>109</v>
      </c>
      <c r="L153">
        <v>0</v>
      </c>
      <c r="M153">
        <v>0</v>
      </c>
      <c r="N153">
        <v>0</v>
      </c>
      <c r="O153">
        <v>0</v>
      </c>
    </row>
    <row r="154" spans="1:15" hidden="1" x14ac:dyDescent="0.35">
      <c r="A154" t="s">
        <v>213</v>
      </c>
      <c r="B154" t="s">
        <v>213</v>
      </c>
      <c r="C154" t="s">
        <v>214</v>
      </c>
      <c r="D154">
        <v>100471</v>
      </c>
      <c r="E154" t="s">
        <v>145</v>
      </c>
      <c r="F154">
        <v>0</v>
      </c>
      <c r="G154">
        <v>0</v>
      </c>
      <c r="H154">
        <v>0</v>
      </c>
      <c r="I154">
        <v>0</v>
      </c>
      <c r="J154">
        <v>0</v>
      </c>
      <c r="K154" t="s">
        <v>109</v>
      </c>
      <c r="L154">
        <v>0</v>
      </c>
      <c r="M154">
        <v>0</v>
      </c>
      <c r="N154">
        <v>0</v>
      </c>
      <c r="O154">
        <v>0</v>
      </c>
    </row>
    <row r="155" spans="1:15" hidden="1" x14ac:dyDescent="0.35">
      <c r="A155" t="s">
        <v>213</v>
      </c>
      <c r="B155" t="s">
        <v>213</v>
      </c>
      <c r="C155" t="s">
        <v>214</v>
      </c>
      <c r="D155">
        <v>100471</v>
      </c>
      <c r="E155" t="s">
        <v>146</v>
      </c>
      <c r="F155">
        <v>0</v>
      </c>
      <c r="G155">
        <v>0</v>
      </c>
      <c r="H155">
        <v>0</v>
      </c>
      <c r="I155">
        <v>0</v>
      </c>
      <c r="J155">
        <v>0</v>
      </c>
      <c r="K155" t="s">
        <v>109</v>
      </c>
      <c r="L155">
        <v>0</v>
      </c>
      <c r="M155">
        <v>0</v>
      </c>
      <c r="N155">
        <v>0</v>
      </c>
      <c r="O155">
        <v>0</v>
      </c>
    </row>
    <row r="156" spans="1:15" hidden="1" x14ac:dyDescent="0.35">
      <c r="A156" t="s">
        <v>213</v>
      </c>
      <c r="B156" t="s">
        <v>213</v>
      </c>
      <c r="C156" t="s">
        <v>214</v>
      </c>
      <c r="D156">
        <v>100471</v>
      </c>
      <c r="E156" t="s">
        <v>147</v>
      </c>
      <c r="F156">
        <v>0</v>
      </c>
      <c r="G156">
        <v>0</v>
      </c>
      <c r="H156">
        <v>0</v>
      </c>
      <c r="I156">
        <v>0</v>
      </c>
      <c r="J156">
        <v>0</v>
      </c>
      <c r="K156" t="s">
        <v>109</v>
      </c>
      <c r="L156">
        <v>0</v>
      </c>
      <c r="M156">
        <v>0</v>
      </c>
      <c r="N156">
        <v>0</v>
      </c>
      <c r="O156">
        <v>0</v>
      </c>
    </row>
    <row r="157" spans="1:15" hidden="1" x14ac:dyDescent="0.35">
      <c r="A157" t="s">
        <v>213</v>
      </c>
      <c r="B157" t="s">
        <v>213</v>
      </c>
      <c r="C157" t="s">
        <v>214</v>
      </c>
      <c r="D157">
        <v>100471</v>
      </c>
      <c r="E157" t="s">
        <v>148</v>
      </c>
      <c r="F157">
        <v>0</v>
      </c>
      <c r="G157">
        <v>0</v>
      </c>
      <c r="H157">
        <v>0</v>
      </c>
      <c r="I157">
        <v>0</v>
      </c>
      <c r="J157">
        <v>0</v>
      </c>
      <c r="K157" t="s">
        <v>109</v>
      </c>
      <c r="L157">
        <v>0</v>
      </c>
      <c r="M157">
        <v>0</v>
      </c>
      <c r="N157">
        <v>0</v>
      </c>
      <c r="O157">
        <v>0</v>
      </c>
    </row>
    <row r="158" spans="1:15" hidden="1" x14ac:dyDescent="0.35">
      <c r="A158" t="s">
        <v>213</v>
      </c>
      <c r="B158" t="s">
        <v>213</v>
      </c>
      <c r="C158" t="s">
        <v>214</v>
      </c>
      <c r="D158">
        <v>100471</v>
      </c>
      <c r="E158" t="s">
        <v>149</v>
      </c>
      <c r="F158">
        <v>0</v>
      </c>
      <c r="G158">
        <v>0</v>
      </c>
      <c r="H158">
        <v>0</v>
      </c>
      <c r="I158">
        <v>0</v>
      </c>
      <c r="J158">
        <v>0</v>
      </c>
      <c r="K158" t="s">
        <v>109</v>
      </c>
      <c r="L158">
        <v>0</v>
      </c>
      <c r="M158">
        <v>0</v>
      </c>
      <c r="N158">
        <v>0</v>
      </c>
      <c r="O158">
        <v>0</v>
      </c>
    </row>
    <row r="159" spans="1:15" hidden="1" x14ac:dyDescent="0.35">
      <c r="A159" t="s">
        <v>213</v>
      </c>
      <c r="B159" t="s">
        <v>213</v>
      </c>
      <c r="C159" t="s">
        <v>214</v>
      </c>
      <c r="D159">
        <v>100471</v>
      </c>
      <c r="E159" t="s">
        <v>150</v>
      </c>
      <c r="F159">
        <v>0</v>
      </c>
      <c r="G159">
        <v>0</v>
      </c>
      <c r="H159">
        <v>0</v>
      </c>
      <c r="I159">
        <v>0</v>
      </c>
      <c r="J159">
        <v>0</v>
      </c>
      <c r="K159" t="s">
        <v>109</v>
      </c>
      <c r="L159">
        <v>0</v>
      </c>
      <c r="M159">
        <v>0</v>
      </c>
      <c r="N159">
        <v>0</v>
      </c>
      <c r="O159">
        <v>0</v>
      </c>
    </row>
    <row r="160" spans="1:15" hidden="1" x14ac:dyDescent="0.35">
      <c r="A160" t="s">
        <v>213</v>
      </c>
      <c r="B160" t="s">
        <v>213</v>
      </c>
      <c r="C160" t="s">
        <v>214</v>
      </c>
      <c r="D160">
        <v>100471</v>
      </c>
      <c r="E160" t="s">
        <v>151</v>
      </c>
      <c r="F160">
        <v>0</v>
      </c>
      <c r="G160">
        <v>0</v>
      </c>
      <c r="H160">
        <v>0</v>
      </c>
      <c r="I160">
        <v>0</v>
      </c>
      <c r="J160">
        <v>0</v>
      </c>
      <c r="K160" t="s">
        <v>109</v>
      </c>
      <c r="L160">
        <v>0</v>
      </c>
      <c r="M160">
        <v>0</v>
      </c>
      <c r="N160">
        <v>0</v>
      </c>
      <c r="O160">
        <v>0</v>
      </c>
    </row>
    <row r="161" spans="1:15" hidden="1" x14ac:dyDescent="0.35">
      <c r="A161" t="s">
        <v>213</v>
      </c>
      <c r="B161" t="s">
        <v>213</v>
      </c>
      <c r="C161" t="s">
        <v>214</v>
      </c>
      <c r="D161">
        <v>100471</v>
      </c>
      <c r="E161" t="s">
        <v>152</v>
      </c>
      <c r="F161">
        <v>0</v>
      </c>
      <c r="G161">
        <v>0</v>
      </c>
      <c r="H161">
        <v>0</v>
      </c>
      <c r="I161">
        <v>0</v>
      </c>
      <c r="J161">
        <v>0</v>
      </c>
      <c r="K161" t="s">
        <v>109</v>
      </c>
      <c r="L161">
        <v>0</v>
      </c>
      <c r="M161">
        <v>0</v>
      </c>
      <c r="N161">
        <v>0</v>
      </c>
      <c r="O161">
        <v>0</v>
      </c>
    </row>
    <row r="162" spans="1:15" hidden="1" x14ac:dyDescent="0.35">
      <c r="A162" t="s">
        <v>213</v>
      </c>
      <c r="B162" t="s">
        <v>213</v>
      </c>
      <c r="C162" t="s">
        <v>214</v>
      </c>
      <c r="D162">
        <v>100471</v>
      </c>
      <c r="E162" t="s">
        <v>153</v>
      </c>
      <c r="F162">
        <v>0</v>
      </c>
      <c r="G162">
        <v>0</v>
      </c>
      <c r="H162">
        <v>0</v>
      </c>
      <c r="I162">
        <v>0</v>
      </c>
      <c r="J162">
        <v>0</v>
      </c>
      <c r="K162" t="s">
        <v>109</v>
      </c>
      <c r="L162">
        <v>0</v>
      </c>
      <c r="M162">
        <v>0</v>
      </c>
      <c r="N162">
        <v>0</v>
      </c>
      <c r="O162">
        <v>0</v>
      </c>
    </row>
    <row r="163" spans="1:15" hidden="1" x14ac:dyDescent="0.35">
      <c r="A163" t="s">
        <v>213</v>
      </c>
      <c r="B163" t="s">
        <v>213</v>
      </c>
      <c r="C163" t="s">
        <v>214</v>
      </c>
      <c r="D163">
        <v>100471</v>
      </c>
      <c r="E163" t="s">
        <v>154</v>
      </c>
      <c r="F163">
        <v>0</v>
      </c>
      <c r="G163">
        <v>0</v>
      </c>
      <c r="H163">
        <v>0</v>
      </c>
      <c r="I163">
        <v>0</v>
      </c>
      <c r="J163">
        <v>0</v>
      </c>
      <c r="K163" t="s">
        <v>109</v>
      </c>
      <c r="L163">
        <v>0</v>
      </c>
      <c r="M163">
        <v>0</v>
      </c>
      <c r="N163">
        <v>0</v>
      </c>
      <c r="O163">
        <v>0</v>
      </c>
    </row>
    <row r="164" spans="1:15" hidden="1" x14ac:dyDescent="0.35">
      <c r="A164" t="s">
        <v>213</v>
      </c>
      <c r="B164" t="s">
        <v>213</v>
      </c>
      <c r="C164" t="s">
        <v>214</v>
      </c>
      <c r="D164">
        <v>100471</v>
      </c>
      <c r="E164" t="s">
        <v>155</v>
      </c>
      <c r="F164">
        <v>0</v>
      </c>
      <c r="G164">
        <v>0</v>
      </c>
      <c r="H164">
        <v>0</v>
      </c>
      <c r="I164">
        <v>0</v>
      </c>
      <c r="J164">
        <v>0</v>
      </c>
      <c r="K164" t="s">
        <v>109</v>
      </c>
      <c r="L164">
        <v>0</v>
      </c>
      <c r="M164">
        <v>0</v>
      </c>
      <c r="N164">
        <v>0</v>
      </c>
      <c r="O164">
        <v>0</v>
      </c>
    </row>
    <row r="165" spans="1:15" hidden="1" x14ac:dyDescent="0.35">
      <c r="A165" t="s">
        <v>213</v>
      </c>
      <c r="B165" t="s">
        <v>213</v>
      </c>
      <c r="C165" t="s">
        <v>214</v>
      </c>
      <c r="D165">
        <v>100471</v>
      </c>
      <c r="E165" t="s">
        <v>156</v>
      </c>
      <c r="F165">
        <v>0</v>
      </c>
      <c r="G165">
        <v>0</v>
      </c>
      <c r="H165">
        <v>0</v>
      </c>
      <c r="I165">
        <v>0</v>
      </c>
      <c r="J165">
        <v>0</v>
      </c>
      <c r="K165" t="s">
        <v>109</v>
      </c>
      <c r="L165">
        <v>0</v>
      </c>
      <c r="M165">
        <v>0</v>
      </c>
      <c r="N165">
        <v>0</v>
      </c>
      <c r="O165">
        <v>0</v>
      </c>
    </row>
    <row r="166" spans="1:15" hidden="1" x14ac:dyDescent="0.35">
      <c r="A166" t="s">
        <v>213</v>
      </c>
      <c r="B166" t="s">
        <v>213</v>
      </c>
      <c r="C166" t="s">
        <v>214</v>
      </c>
      <c r="D166">
        <v>100471</v>
      </c>
      <c r="E166" t="s">
        <v>157</v>
      </c>
      <c r="F166">
        <v>0</v>
      </c>
      <c r="G166">
        <v>0</v>
      </c>
      <c r="H166">
        <v>0</v>
      </c>
      <c r="I166">
        <v>0</v>
      </c>
      <c r="J166">
        <v>0</v>
      </c>
      <c r="K166" t="s">
        <v>109</v>
      </c>
      <c r="L166">
        <v>0</v>
      </c>
      <c r="M166">
        <v>0</v>
      </c>
      <c r="N166">
        <v>0</v>
      </c>
      <c r="O166">
        <v>0</v>
      </c>
    </row>
    <row r="167" spans="1:15" hidden="1" x14ac:dyDescent="0.35">
      <c r="A167" t="s">
        <v>213</v>
      </c>
      <c r="B167" t="s">
        <v>213</v>
      </c>
      <c r="C167" t="s">
        <v>214</v>
      </c>
      <c r="D167">
        <v>100471</v>
      </c>
      <c r="E167" t="s">
        <v>158</v>
      </c>
      <c r="F167">
        <v>0</v>
      </c>
      <c r="G167">
        <v>0</v>
      </c>
      <c r="H167">
        <v>0</v>
      </c>
      <c r="I167">
        <v>0</v>
      </c>
      <c r="J167">
        <v>0</v>
      </c>
      <c r="K167" t="s">
        <v>109</v>
      </c>
      <c r="L167">
        <v>0</v>
      </c>
      <c r="M167">
        <v>0</v>
      </c>
      <c r="N167">
        <v>0</v>
      </c>
      <c r="O167">
        <v>0</v>
      </c>
    </row>
    <row r="168" spans="1:15" hidden="1" x14ac:dyDescent="0.35">
      <c r="A168" t="s">
        <v>213</v>
      </c>
      <c r="B168" t="s">
        <v>213</v>
      </c>
      <c r="C168" t="s">
        <v>214</v>
      </c>
      <c r="D168">
        <v>100471</v>
      </c>
      <c r="E168" t="s">
        <v>159</v>
      </c>
      <c r="F168">
        <v>0</v>
      </c>
      <c r="G168">
        <v>0</v>
      </c>
      <c r="H168">
        <v>0</v>
      </c>
      <c r="I168">
        <v>0</v>
      </c>
      <c r="J168">
        <v>0</v>
      </c>
      <c r="K168" t="s">
        <v>109</v>
      </c>
      <c r="L168">
        <v>0</v>
      </c>
      <c r="M168">
        <v>0</v>
      </c>
      <c r="N168">
        <v>0</v>
      </c>
      <c r="O168">
        <v>0</v>
      </c>
    </row>
    <row r="169" spans="1:15" hidden="1" x14ac:dyDescent="0.35">
      <c r="A169" t="s">
        <v>213</v>
      </c>
      <c r="B169" t="s">
        <v>213</v>
      </c>
      <c r="C169" t="s">
        <v>214</v>
      </c>
      <c r="D169">
        <v>100471</v>
      </c>
      <c r="E169" t="s">
        <v>160</v>
      </c>
      <c r="F169">
        <v>0</v>
      </c>
      <c r="G169">
        <v>0</v>
      </c>
      <c r="H169">
        <v>0</v>
      </c>
      <c r="I169">
        <v>0</v>
      </c>
      <c r="J169">
        <v>0</v>
      </c>
      <c r="K169" t="s">
        <v>109</v>
      </c>
      <c r="L169">
        <v>0</v>
      </c>
      <c r="M169">
        <v>0</v>
      </c>
      <c r="N169">
        <v>0</v>
      </c>
      <c r="O169">
        <v>0</v>
      </c>
    </row>
    <row r="170" spans="1:15" hidden="1" x14ac:dyDescent="0.35">
      <c r="A170" t="s">
        <v>213</v>
      </c>
      <c r="B170" t="s">
        <v>213</v>
      </c>
      <c r="C170" t="s">
        <v>214</v>
      </c>
      <c r="D170">
        <v>100471</v>
      </c>
      <c r="E170" t="s">
        <v>161</v>
      </c>
      <c r="F170">
        <v>0</v>
      </c>
      <c r="G170">
        <v>0</v>
      </c>
      <c r="H170">
        <v>0</v>
      </c>
      <c r="I170">
        <v>0</v>
      </c>
      <c r="J170">
        <v>0</v>
      </c>
      <c r="K170" t="s">
        <v>109</v>
      </c>
      <c r="L170">
        <v>0</v>
      </c>
      <c r="M170">
        <v>0</v>
      </c>
      <c r="N170">
        <v>0</v>
      </c>
      <c r="O170">
        <v>0</v>
      </c>
    </row>
    <row r="171" spans="1:15" hidden="1" x14ac:dyDescent="0.35">
      <c r="A171" t="s">
        <v>213</v>
      </c>
      <c r="B171" t="s">
        <v>213</v>
      </c>
      <c r="C171" t="s">
        <v>214</v>
      </c>
      <c r="D171">
        <v>100471</v>
      </c>
      <c r="E171" t="s">
        <v>162</v>
      </c>
      <c r="F171">
        <v>0</v>
      </c>
      <c r="G171">
        <v>0</v>
      </c>
      <c r="H171">
        <v>0</v>
      </c>
      <c r="I171">
        <v>0</v>
      </c>
      <c r="J171">
        <v>0</v>
      </c>
      <c r="K171" t="s">
        <v>109</v>
      </c>
      <c r="L171">
        <v>0</v>
      </c>
      <c r="M171">
        <v>0</v>
      </c>
      <c r="N171">
        <v>0</v>
      </c>
      <c r="O171">
        <v>0</v>
      </c>
    </row>
    <row r="172" spans="1:15" hidden="1" x14ac:dyDescent="0.35">
      <c r="A172" t="s">
        <v>213</v>
      </c>
      <c r="B172" t="s">
        <v>213</v>
      </c>
      <c r="C172" t="s">
        <v>214</v>
      </c>
      <c r="D172">
        <v>100471</v>
      </c>
      <c r="E172" t="s">
        <v>163</v>
      </c>
      <c r="F172">
        <v>0</v>
      </c>
      <c r="G172">
        <v>0</v>
      </c>
      <c r="H172">
        <v>0</v>
      </c>
      <c r="I172">
        <v>0</v>
      </c>
      <c r="J172">
        <v>0</v>
      </c>
      <c r="K172" t="s">
        <v>109</v>
      </c>
      <c r="L172">
        <v>0</v>
      </c>
      <c r="M172">
        <v>0</v>
      </c>
      <c r="N172">
        <v>0</v>
      </c>
      <c r="O172">
        <v>0</v>
      </c>
    </row>
    <row r="173" spans="1:15" hidden="1" x14ac:dyDescent="0.35">
      <c r="A173" t="s">
        <v>213</v>
      </c>
      <c r="B173" t="s">
        <v>213</v>
      </c>
      <c r="C173" t="s">
        <v>214</v>
      </c>
      <c r="D173">
        <v>100471</v>
      </c>
      <c r="E173" t="s">
        <v>164</v>
      </c>
      <c r="F173">
        <v>0</v>
      </c>
      <c r="G173">
        <v>0</v>
      </c>
      <c r="H173">
        <v>0</v>
      </c>
      <c r="I173">
        <v>0</v>
      </c>
      <c r="J173">
        <v>0</v>
      </c>
      <c r="K173" t="s">
        <v>109</v>
      </c>
      <c r="L173">
        <v>0</v>
      </c>
      <c r="M173">
        <v>0</v>
      </c>
      <c r="N173">
        <v>0</v>
      </c>
      <c r="O173">
        <v>0</v>
      </c>
    </row>
    <row r="174" spans="1:15" hidden="1" x14ac:dyDescent="0.35">
      <c r="A174" t="s">
        <v>213</v>
      </c>
      <c r="B174" t="s">
        <v>213</v>
      </c>
      <c r="C174" t="s">
        <v>214</v>
      </c>
      <c r="D174">
        <v>100471</v>
      </c>
      <c r="E174" t="s">
        <v>165</v>
      </c>
      <c r="F174">
        <v>0</v>
      </c>
      <c r="G174">
        <v>0</v>
      </c>
      <c r="H174">
        <v>0</v>
      </c>
      <c r="I174">
        <v>0</v>
      </c>
      <c r="J174">
        <v>0</v>
      </c>
      <c r="K174" t="s">
        <v>109</v>
      </c>
      <c r="L174">
        <v>0</v>
      </c>
      <c r="M174">
        <v>0</v>
      </c>
      <c r="N174">
        <v>0</v>
      </c>
      <c r="O174">
        <v>0</v>
      </c>
    </row>
    <row r="175" spans="1:15" hidden="1" x14ac:dyDescent="0.35">
      <c r="A175" t="s">
        <v>213</v>
      </c>
      <c r="B175" t="s">
        <v>213</v>
      </c>
      <c r="C175" t="s">
        <v>214</v>
      </c>
      <c r="D175">
        <v>100471</v>
      </c>
      <c r="E175" t="s">
        <v>166</v>
      </c>
      <c r="F175">
        <v>0</v>
      </c>
      <c r="G175">
        <v>0</v>
      </c>
      <c r="H175">
        <v>0</v>
      </c>
      <c r="I175">
        <v>0</v>
      </c>
      <c r="J175">
        <v>0</v>
      </c>
      <c r="K175" t="s">
        <v>109</v>
      </c>
      <c r="L175">
        <v>0</v>
      </c>
      <c r="M175">
        <v>0</v>
      </c>
      <c r="N175">
        <v>0</v>
      </c>
      <c r="O175">
        <v>0</v>
      </c>
    </row>
    <row r="176" spans="1:15" hidden="1" x14ac:dyDescent="0.35">
      <c r="A176" t="s">
        <v>213</v>
      </c>
      <c r="B176" t="s">
        <v>213</v>
      </c>
      <c r="C176" t="s">
        <v>214</v>
      </c>
      <c r="D176">
        <v>100471</v>
      </c>
      <c r="E176" t="s">
        <v>167</v>
      </c>
      <c r="F176">
        <v>0</v>
      </c>
      <c r="G176">
        <v>0</v>
      </c>
      <c r="H176">
        <v>0</v>
      </c>
      <c r="I176">
        <v>0</v>
      </c>
      <c r="J176">
        <v>0</v>
      </c>
      <c r="K176" t="s">
        <v>109</v>
      </c>
      <c r="L176">
        <v>0</v>
      </c>
      <c r="M176">
        <v>0</v>
      </c>
      <c r="N176">
        <v>0</v>
      </c>
      <c r="O176">
        <v>0</v>
      </c>
    </row>
    <row r="177" spans="1:15" hidden="1" x14ac:dyDescent="0.35">
      <c r="A177" t="s">
        <v>213</v>
      </c>
      <c r="B177" t="s">
        <v>213</v>
      </c>
      <c r="C177" t="s">
        <v>214</v>
      </c>
      <c r="D177">
        <v>100471</v>
      </c>
      <c r="E177" t="s">
        <v>168</v>
      </c>
      <c r="F177">
        <v>0</v>
      </c>
      <c r="G177">
        <v>0</v>
      </c>
      <c r="H177">
        <v>0</v>
      </c>
      <c r="I177">
        <v>0</v>
      </c>
      <c r="J177">
        <v>0</v>
      </c>
      <c r="K177" t="s">
        <v>109</v>
      </c>
      <c r="L177">
        <v>0</v>
      </c>
      <c r="M177">
        <v>0</v>
      </c>
      <c r="N177">
        <v>0</v>
      </c>
      <c r="O177">
        <v>0</v>
      </c>
    </row>
    <row r="178" spans="1:15" hidden="1" x14ac:dyDescent="0.35">
      <c r="A178" t="s">
        <v>213</v>
      </c>
      <c r="B178" t="s">
        <v>213</v>
      </c>
      <c r="C178" t="s">
        <v>214</v>
      </c>
      <c r="D178">
        <v>100471</v>
      </c>
      <c r="E178" t="s">
        <v>169</v>
      </c>
      <c r="F178">
        <v>0</v>
      </c>
      <c r="G178">
        <v>0</v>
      </c>
      <c r="H178">
        <v>0</v>
      </c>
      <c r="I178">
        <v>0</v>
      </c>
      <c r="J178">
        <v>0</v>
      </c>
      <c r="K178" t="s">
        <v>109</v>
      </c>
      <c r="L178">
        <v>0</v>
      </c>
      <c r="M178">
        <v>0</v>
      </c>
      <c r="N178">
        <v>0</v>
      </c>
      <c r="O178">
        <v>0</v>
      </c>
    </row>
    <row r="179" spans="1:15" hidden="1" x14ac:dyDescent="0.35">
      <c r="A179" t="s">
        <v>213</v>
      </c>
      <c r="B179" t="s">
        <v>213</v>
      </c>
      <c r="C179" t="s">
        <v>214</v>
      </c>
      <c r="D179">
        <v>100471</v>
      </c>
      <c r="E179" t="s">
        <v>170</v>
      </c>
      <c r="F179">
        <v>0</v>
      </c>
      <c r="G179">
        <v>0</v>
      </c>
      <c r="H179">
        <v>0</v>
      </c>
      <c r="I179">
        <v>0</v>
      </c>
      <c r="J179">
        <v>0</v>
      </c>
      <c r="K179" t="s">
        <v>109</v>
      </c>
      <c r="L179">
        <v>0</v>
      </c>
      <c r="M179">
        <v>0</v>
      </c>
      <c r="N179">
        <v>0</v>
      </c>
      <c r="O179">
        <v>0</v>
      </c>
    </row>
    <row r="180" spans="1:15" hidden="1" x14ac:dyDescent="0.35">
      <c r="A180" t="s">
        <v>213</v>
      </c>
      <c r="B180" t="s">
        <v>213</v>
      </c>
      <c r="C180" t="s">
        <v>214</v>
      </c>
      <c r="D180">
        <v>100471</v>
      </c>
      <c r="E180" t="s">
        <v>171</v>
      </c>
      <c r="F180">
        <v>0</v>
      </c>
      <c r="G180">
        <v>0</v>
      </c>
      <c r="H180">
        <v>0</v>
      </c>
      <c r="I180">
        <v>0</v>
      </c>
      <c r="J180">
        <v>0</v>
      </c>
      <c r="K180" t="s">
        <v>109</v>
      </c>
      <c r="L180">
        <v>0</v>
      </c>
      <c r="M180">
        <v>0</v>
      </c>
      <c r="N180">
        <v>0</v>
      </c>
      <c r="O180">
        <v>0</v>
      </c>
    </row>
    <row r="181" spans="1:15" hidden="1" x14ac:dyDescent="0.35">
      <c r="A181" t="s">
        <v>213</v>
      </c>
      <c r="B181" t="s">
        <v>213</v>
      </c>
      <c r="C181" t="s">
        <v>214</v>
      </c>
      <c r="D181">
        <v>100471</v>
      </c>
      <c r="E181" t="s">
        <v>172</v>
      </c>
      <c r="F181">
        <v>0</v>
      </c>
      <c r="G181">
        <v>0</v>
      </c>
      <c r="H181">
        <v>0</v>
      </c>
      <c r="I181">
        <v>0</v>
      </c>
      <c r="J181">
        <v>0</v>
      </c>
      <c r="K181" t="s">
        <v>109</v>
      </c>
      <c r="L181">
        <v>0</v>
      </c>
      <c r="M181">
        <v>0</v>
      </c>
      <c r="N181">
        <v>0</v>
      </c>
      <c r="O181">
        <v>0</v>
      </c>
    </row>
    <row r="182" spans="1:15" hidden="1" x14ac:dyDescent="0.35">
      <c r="A182" t="s">
        <v>213</v>
      </c>
      <c r="B182" t="s">
        <v>213</v>
      </c>
      <c r="C182" t="s">
        <v>214</v>
      </c>
      <c r="D182">
        <v>100471</v>
      </c>
      <c r="E182" t="s">
        <v>173</v>
      </c>
      <c r="F182">
        <v>0</v>
      </c>
      <c r="G182">
        <v>0</v>
      </c>
      <c r="H182">
        <v>0</v>
      </c>
      <c r="I182">
        <v>0</v>
      </c>
      <c r="J182">
        <v>0</v>
      </c>
      <c r="K182" t="s">
        <v>109</v>
      </c>
      <c r="L182">
        <v>0</v>
      </c>
      <c r="M182">
        <v>0</v>
      </c>
      <c r="N182">
        <v>0</v>
      </c>
      <c r="O182">
        <v>0</v>
      </c>
    </row>
    <row r="183" spans="1:15" hidden="1" x14ac:dyDescent="0.35">
      <c r="A183" t="s">
        <v>213</v>
      </c>
      <c r="B183" t="s">
        <v>213</v>
      </c>
      <c r="C183" t="s">
        <v>214</v>
      </c>
      <c r="D183">
        <v>100471</v>
      </c>
      <c r="E183" t="s">
        <v>174</v>
      </c>
      <c r="F183">
        <v>0</v>
      </c>
      <c r="G183">
        <v>0</v>
      </c>
      <c r="H183">
        <v>0</v>
      </c>
      <c r="I183">
        <v>0</v>
      </c>
      <c r="J183">
        <v>0</v>
      </c>
      <c r="K183" t="s">
        <v>109</v>
      </c>
      <c r="L183">
        <v>0</v>
      </c>
      <c r="M183">
        <v>0</v>
      </c>
      <c r="N183">
        <v>0</v>
      </c>
      <c r="O183">
        <v>0</v>
      </c>
    </row>
    <row r="184" spans="1:15" hidden="1" x14ac:dyDescent="0.35">
      <c r="A184" t="s">
        <v>213</v>
      </c>
      <c r="B184" t="s">
        <v>213</v>
      </c>
      <c r="C184" t="s">
        <v>214</v>
      </c>
      <c r="D184">
        <v>100471</v>
      </c>
      <c r="E184" t="s">
        <v>175</v>
      </c>
      <c r="F184">
        <v>0</v>
      </c>
      <c r="G184">
        <v>0</v>
      </c>
      <c r="H184">
        <v>0</v>
      </c>
      <c r="I184">
        <v>0</v>
      </c>
      <c r="J184">
        <v>0</v>
      </c>
      <c r="K184" t="s">
        <v>109</v>
      </c>
      <c r="L184">
        <v>0</v>
      </c>
      <c r="M184">
        <v>0</v>
      </c>
      <c r="N184">
        <v>0</v>
      </c>
      <c r="O184">
        <v>0</v>
      </c>
    </row>
    <row r="185" spans="1:15" hidden="1" x14ac:dyDescent="0.35">
      <c r="A185" t="s">
        <v>213</v>
      </c>
      <c r="B185" t="s">
        <v>213</v>
      </c>
      <c r="C185" t="s">
        <v>214</v>
      </c>
      <c r="D185">
        <v>100471</v>
      </c>
      <c r="E185" t="s">
        <v>176</v>
      </c>
      <c r="F185">
        <v>0</v>
      </c>
      <c r="G185">
        <v>0</v>
      </c>
      <c r="H185">
        <v>0</v>
      </c>
      <c r="I185">
        <v>0</v>
      </c>
      <c r="J185">
        <v>0</v>
      </c>
      <c r="K185" t="s">
        <v>109</v>
      </c>
      <c r="L185">
        <v>0</v>
      </c>
      <c r="M185">
        <v>0</v>
      </c>
      <c r="N185">
        <v>0</v>
      </c>
      <c r="O185">
        <v>0</v>
      </c>
    </row>
    <row r="186" spans="1:15" hidden="1" x14ac:dyDescent="0.35">
      <c r="A186" t="s">
        <v>213</v>
      </c>
      <c r="B186" t="s">
        <v>213</v>
      </c>
      <c r="C186" t="s">
        <v>214</v>
      </c>
      <c r="D186">
        <v>100471</v>
      </c>
      <c r="E186" t="s">
        <v>177</v>
      </c>
      <c r="F186">
        <v>0</v>
      </c>
      <c r="G186">
        <v>0</v>
      </c>
      <c r="H186">
        <v>0</v>
      </c>
      <c r="I186">
        <v>0</v>
      </c>
      <c r="J186">
        <v>0</v>
      </c>
      <c r="K186" t="s">
        <v>109</v>
      </c>
      <c r="L186">
        <v>0</v>
      </c>
      <c r="M186">
        <v>0</v>
      </c>
      <c r="N186">
        <v>0</v>
      </c>
      <c r="O186">
        <v>0</v>
      </c>
    </row>
    <row r="187" spans="1:15" hidden="1" x14ac:dyDescent="0.35">
      <c r="A187" t="s">
        <v>213</v>
      </c>
      <c r="B187" t="s">
        <v>213</v>
      </c>
      <c r="C187" t="s">
        <v>214</v>
      </c>
      <c r="D187">
        <v>100471</v>
      </c>
      <c r="E187" t="s">
        <v>178</v>
      </c>
      <c r="F187">
        <v>0</v>
      </c>
      <c r="G187">
        <v>0</v>
      </c>
      <c r="H187">
        <v>0</v>
      </c>
      <c r="I187">
        <v>0</v>
      </c>
      <c r="J187">
        <v>0</v>
      </c>
      <c r="K187" t="s">
        <v>109</v>
      </c>
      <c r="L187">
        <v>0</v>
      </c>
      <c r="M187">
        <v>0</v>
      </c>
      <c r="N187">
        <v>0</v>
      </c>
      <c r="O187">
        <v>0</v>
      </c>
    </row>
    <row r="188" spans="1:15" hidden="1" x14ac:dyDescent="0.35">
      <c r="A188" t="s">
        <v>213</v>
      </c>
      <c r="B188" t="s">
        <v>213</v>
      </c>
      <c r="C188" t="s">
        <v>214</v>
      </c>
      <c r="D188">
        <v>100471</v>
      </c>
      <c r="E188" t="s">
        <v>179</v>
      </c>
      <c r="F188">
        <v>0</v>
      </c>
      <c r="G188">
        <v>0</v>
      </c>
      <c r="H188">
        <v>0</v>
      </c>
      <c r="I188">
        <v>0</v>
      </c>
      <c r="J188">
        <v>0</v>
      </c>
      <c r="K188" t="s">
        <v>109</v>
      </c>
      <c r="L188">
        <v>0</v>
      </c>
      <c r="M188">
        <v>0</v>
      </c>
      <c r="N188">
        <v>0</v>
      </c>
      <c r="O188">
        <v>0</v>
      </c>
    </row>
    <row r="189" spans="1:15" hidden="1" x14ac:dyDescent="0.35">
      <c r="A189" t="s">
        <v>213</v>
      </c>
      <c r="B189" t="s">
        <v>213</v>
      </c>
      <c r="C189" t="s">
        <v>214</v>
      </c>
      <c r="D189">
        <v>100471</v>
      </c>
      <c r="E189" t="s">
        <v>180</v>
      </c>
      <c r="F189">
        <v>0</v>
      </c>
      <c r="G189">
        <v>0</v>
      </c>
      <c r="H189">
        <v>0</v>
      </c>
      <c r="I189">
        <v>0</v>
      </c>
      <c r="J189">
        <v>0</v>
      </c>
      <c r="K189" t="s">
        <v>109</v>
      </c>
      <c r="L189">
        <v>0</v>
      </c>
      <c r="M189">
        <v>0</v>
      </c>
      <c r="N189">
        <v>0</v>
      </c>
      <c r="O189">
        <v>0</v>
      </c>
    </row>
    <row r="190" spans="1:15" hidden="1" x14ac:dyDescent="0.35">
      <c r="A190" t="s">
        <v>213</v>
      </c>
      <c r="B190" t="s">
        <v>213</v>
      </c>
      <c r="C190" t="s">
        <v>214</v>
      </c>
      <c r="D190">
        <v>100471</v>
      </c>
      <c r="E190" t="s">
        <v>181</v>
      </c>
      <c r="F190">
        <v>0</v>
      </c>
      <c r="G190">
        <v>0</v>
      </c>
      <c r="H190">
        <v>0</v>
      </c>
      <c r="I190">
        <v>0</v>
      </c>
      <c r="J190">
        <v>0</v>
      </c>
      <c r="K190" t="s">
        <v>109</v>
      </c>
      <c r="L190">
        <v>0</v>
      </c>
      <c r="M190">
        <v>0</v>
      </c>
      <c r="N190">
        <v>0</v>
      </c>
      <c r="O190">
        <v>0</v>
      </c>
    </row>
    <row r="191" spans="1:15" hidden="1" x14ac:dyDescent="0.35">
      <c r="A191" t="s">
        <v>213</v>
      </c>
      <c r="B191" t="s">
        <v>213</v>
      </c>
      <c r="C191" t="s">
        <v>214</v>
      </c>
      <c r="D191">
        <v>100471</v>
      </c>
      <c r="E191" t="s">
        <v>182</v>
      </c>
      <c r="F191">
        <v>0</v>
      </c>
      <c r="G191">
        <v>0</v>
      </c>
      <c r="H191">
        <v>0</v>
      </c>
      <c r="I191">
        <v>0</v>
      </c>
      <c r="J191">
        <v>0</v>
      </c>
      <c r="K191" t="s">
        <v>109</v>
      </c>
      <c r="L191">
        <v>0</v>
      </c>
      <c r="M191">
        <v>0</v>
      </c>
      <c r="N191">
        <v>0</v>
      </c>
      <c r="O191">
        <v>0</v>
      </c>
    </row>
    <row r="192" spans="1:15" hidden="1" x14ac:dyDescent="0.35">
      <c r="A192" t="s">
        <v>213</v>
      </c>
      <c r="B192" t="s">
        <v>213</v>
      </c>
      <c r="C192" t="s">
        <v>214</v>
      </c>
      <c r="D192">
        <v>100471</v>
      </c>
      <c r="E192" t="s">
        <v>183</v>
      </c>
      <c r="F192">
        <v>0</v>
      </c>
      <c r="G192">
        <v>0</v>
      </c>
      <c r="H192">
        <v>0</v>
      </c>
      <c r="I192">
        <v>0</v>
      </c>
      <c r="J192">
        <v>0</v>
      </c>
      <c r="K192" t="s">
        <v>109</v>
      </c>
      <c r="L192">
        <v>0</v>
      </c>
      <c r="M192">
        <v>0</v>
      </c>
      <c r="N192">
        <v>0</v>
      </c>
      <c r="O192">
        <v>0</v>
      </c>
    </row>
    <row r="193" spans="1:15" hidden="1" x14ac:dyDescent="0.35">
      <c r="A193" t="s">
        <v>213</v>
      </c>
      <c r="B193" t="s">
        <v>213</v>
      </c>
      <c r="C193" t="s">
        <v>214</v>
      </c>
      <c r="D193">
        <v>100471</v>
      </c>
      <c r="E193" t="s">
        <v>184</v>
      </c>
      <c r="F193">
        <v>0</v>
      </c>
      <c r="G193">
        <v>0</v>
      </c>
      <c r="H193">
        <v>0</v>
      </c>
      <c r="I193">
        <v>0</v>
      </c>
      <c r="J193">
        <v>0</v>
      </c>
      <c r="K193" t="s">
        <v>109</v>
      </c>
      <c r="L193">
        <v>0</v>
      </c>
      <c r="M193">
        <v>0</v>
      </c>
      <c r="N193">
        <v>0</v>
      </c>
      <c r="O193">
        <v>0</v>
      </c>
    </row>
    <row r="194" spans="1:15" hidden="1" x14ac:dyDescent="0.35">
      <c r="A194" t="s">
        <v>213</v>
      </c>
      <c r="B194" t="s">
        <v>213</v>
      </c>
      <c r="C194" t="s">
        <v>214</v>
      </c>
      <c r="D194">
        <v>100471</v>
      </c>
      <c r="E194" t="s">
        <v>185</v>
      </c>
      <c r="F194">
        <v>0</v>
      </c>
      <c r="G194">
        <v>0</v>
      </c>
      <c r="H194">
        <v>0</v>
      </c>
      <c r="I194">
        <v>0</v>
      </c>
      <c r="J194">
        <v>0</v>
      </c>
      <c r="K194" t="s">
        <v>109</v>
      </c>
      <c r="L194">
        <v>0</v>
      </c>
      <c r="M194">
        <v>0</v>
      </c>
      <c r="N194">
        <v>0</v>
      </c>
      <c r="O194">
        <v>0</v>
      </c>
    </row>
    <row r="195" spans="1:15" hidden="1" x14ac:dyDescent="0.35">
      <c r="A195" t="s">
        <v>213</v>
      </c>
      <c r="B195" t="s">
        <v>213</v>
      </c>
      <c r="C195" t="s">
        <v>214</v>
      </c>
      <c r="D195">
        <v>100471</v>
      </c>
      <c r="E195" t="s">
        <v>186</v>
      </c>
      <c r="F195">
        <v>0</v>
      </c>
      <c r="G195">
        <v>0</v>
      </c>
      <c r="H195">
        <v>0</v>
      </c>
      <c r="I195">
        <v>0</v>
      </c>
      <c r="J195">
        <v>0</v>
      </c>
      <c r="K195" t="s">
        <v>109</v>
      </c>
      <c r="L195">
        <v>0</v>
      </c>
      <c r="M195">
        <v>0</v>
      </c>
      <c r="N195">
        <v>0</v>
      </c>
      <c r="O195">
        <v>0</v>
      </c>
    </row>
    <row r="196" spans="1:15" hidden="1" x14ac:dyDescent="0.35">
      <c r="A196" t="s">
        <v>213</v>
      </c>
      <c r="B196" t="s">
        <v>213</v>
      </c>
      <c r="C196" t="s">
        <v>214</v>
      </c>
      <c r="D196">
        <v>100471</v>
      </c>
      <c r="E196" t="s">
        <v>187</v>
      </c>
      <c r="F196">
        <v>0</v>
      </c>
      <c r="G196">
        <v>0</v>
      </c>
      <c r="H196">
        <v>0</v>
      </c>
      <c r="I196">
        <v>0</v>
      </c>
      <c r="J196">
        <v>0</v>
      </c>
      <c r="K196" t="s">
        <v>109</v>
      </c>
      <c r="L196">
        <v>0</v>
      </c>
      <c r="M196">
        <v>0</v>
      </c>
      <c r="N196">
        <v>0</v>
      </c>
      <c r="O196">
        <v>0</v>
      </c>
    </row>
    <row r="197" spans="1:15" hidden="1" x14ac:dyDescent="0.35">
      <c r="A197" t="s">
        <v>213</v>
      </c>
      <c r="B197" t="s">
        <v>213</v>
      </c>
      <c r="C197" t="s">
        <v>214</v>
      </c>
      <c r="D197">
        <v>100471</v>
      </c>
      <c r="E197" t="s">
        <v>188</v>
      </c>
      <c r="F197">
        <v>0</v>
      </c>
      <c r="G197">
        <v>0</v>
      </c>
      <c r="H197">
        <v>0</v>
      </c>
      <c r="I197">
        <v>0</v>
      </c>
      <c r="J197">
        <v>0</v>
      </c>
      <c r="K197" t="s">
        <v>109</v>
      </c>
      <c r="L197">
        <v>0</v>
      </c>
      <c r="M197">
        <v>0</v>
      </c>
      <c r="N197">
        <v>0</v>
      </c>
      <c r="O197">
        <v>0</v>
      </c>
    </row>
    <row r="198" spans="1:15" hidden="1" x14ac:dyDescent="0.35">
      <c r="A198" t="s">
        <v>213</v>
      </c>
      <c r="B198" t="s">
        <v>213</v>
      </c>
      <c r="C198" t="s">
        <v>214</v>
      </c>
      <c r="D198">
        <v>100471</v>
      </c>
      <c r="E198" t="s">
        <v>189</v>
      </c>
      <c r="F198">
        <v>0</v>
      </c>
      <c r="G198">
        <v>0</v>
      </c>
      <c r="H198">
        <v>0</v>
      </c>
      <c r="I198">
        <v>0</v>
      </c>
      <c r="J198">
        <v>0</v>
      </c>
      <c r="K198" t="s">
        <v>109</v>
      </c>
      <c r="L198">
        <v>0</v>
      </c>
      <c r="M198">
        <v>0</v>
      </c>
      <c r="N198">
        <v>0</v>
      </c>
      <c r="O198">
        <v>0</v>
      </c>
    </row>
    <row r="199" spans="1:15" hidden="1" x14ac:dyDescent="0.35">
      <c r="A199" t="s">
        <v>213</v>
      </c>
      <c r="B199" t="s">
        <v>213</v>
      </c>
      <c r="C199" t="s">
        <v>214</v>
      </c>
      <c r="D199">
        <v>100471</v>
      </c>
      <c r="E199" t="s">
        <v>190</v>
      </c>
      <c r="F199">
        <v>0</v>
      </c>
      <c r="G199">
        <v>0</v>
      </c>
      <c r="H199">
        <v>0</v>
      </c>
      <c r="I199">
        <v>0</v>
      </c>
      <c r="J199">
        <v>0</v>
      </c>
      <c r="K199" t="s">
        <v>109</v>
      </c>
      <c r="L199">
        <v>0</v>
      </c>
      <c r="M199">
        <v>0</v>
      </c>
      <c r="N199">
        <v>0</v>
      </c>
      <c r="O199">
        <v>0</v>
      </c>
    </row>
    <row r="200" spans="1:15" hidden="1" x14ac:dyDescent="0.35">
      <c r="A200" t="s">
        <v>213</v>
      </c>
      <c r="B200" t="s">
        <v>213</v>
      </c>
      <c r="C200" t="s">
        <v>214</v>
      </c>
      <c r="D200">
        <v>100471</v>
      </c>
      <c r="E200" t="s">
        <v>191</v>
      </c>
      <c r="F200">
        <v>0</v>
      </c>
      <c r="G200">
        <v>0</v>
      </c>
      <c r="H200">
        <v>0</v>
      </c>
      <c r="I200">
        <v>0</v>
      </c>
      <c r="J200">
        <v>0</v>
      </c>
      <c r="K200" t="s">
        <v>109</v>
      </c>
      <c r="L200">
        <v>0</v>
      </c>
      <c r="M200">
        <v>0</v>
      </c>
      <c r="N200">
        <v>0</v>
      </c>
      <c r="O200">
        <v>0</v>
      </c>
    </row>
    <row r="201" spans="1:15" hidden="1" x14ac:dyDescent="0.35">
      <c r="A201" t="s">
        <v>213</v>
      </c>
      <c r="B201" t="s">
        <v>213</v>
      </c>
      <c r="C201" t="s">
        <v>214</v>
      </c>
      <c r="D201">
        <v>100471</v>
      </c>
      <c r="E201" t="s">
        <v>192</v>
      </c>
      <c r="F201">
        <v>0</v>
      </c>
      <c r="G201">
        <v>0</v>
      </c>
      <c r="H201">
        <v>0</v>
      </c>
      <c r="I201">
        <v>0</v>
      </c>
      <c r="J201">
        <v>0</v>
      </c>
      <c r="K201" t="s">
        <v>109</v>
      </c>
      <c r="L201">
        <v>0</v>
      </c>
      <c r="M201">
        <v>0</v>
      </c>
      <c r="N201">
        <v>0</v>
      </c>
      <c r="O201">
        <v>0</v>
      </c>
    </row>
    <row r="202" spans="1:15" hidden="1" x14ac:dyDescent="0.35">
      <c r="A202" t="s">
        <v>213</v>
      </c>
      <c r="B202" t="s">
        <v>213</v>
      </c>
      <c r="C202" t="s">
        <v>214</v>
      </c>
      <c r="D202">
        <v>100471</v>
      </c>
      <c r="E202" t="s">
        <v>203</v>
      </c>
      <c r="F202">
        <v>0</v>
      </c>
      <c r="G202">
        <v>0</v>
      </c>
      <c r="H202">
        <v>0</v>
      </c>
      <c r="I202">
        <v>0</v>
      </c>
      <c r="J202">
        <v>0</v>
      </c>
      <c r="K202" t="s">
        <v>109</v>
      </c>
      <c r="L202">
        <v>0</v>
      </c>
      <c r="M202">
        <v>0</v>
      </c>
      <c r="N202">
        <v>0</v>
      </c>
      <c r="O202">
        <v>0</v>
      </c>
    </row>
    <row r="203" spans="1:15" hidden="1" x14ac:dyDescent="0.35">
      <c r="A203" t="s">
        <v>213</v>
      </c>
      <c r="B203" t="s">
        <v>213</v>
      </c>
      <c r="C203" t="s">
        <v>214</v>
      </c>
      <c r="D203">
        <v>100471</v>
      </c>
      <c r="E203" t="s">
        <v>204</v>
      </c>
      <c r="F203">
        <v>0</v>
      </c>
      <c r="G203">
        <v>0</v>
      </c>
      <c r="H203">
        <v>0</v>
      </c>
      <c r="I203">
        <v>0</v>
      </c>
      <c r="J203">
        <v>0</v>
      </c>
      <c r="K203" t="s">
        <v>109</v>
      </c>
      <c r="L203">
        <v>0</v>
      </c>
      <c r="M203">
        <v>0</v>
      </c>
      <c r="N203">
        <v>0</v>
      </c>
      <c r="O203">
        <v>0</v>
      </c>
    </row>
    <row r="204" spans="1:15" hidden="1" x14ac:dyDescent="0.35">
      <c r="A204" t="s">
        <v>213</v>
      </c>
      <c r="B204" t="s">
        <v>213</v>
      </c>
      <c r="C204" t="s">
        <v>214</v>
      </c>
      <c r="D204">
        <v>100471</v>
      </c>
      <c r="E204" t="s">
        <v>205</v>
      </c>
      <c r="F204">
        <v>0</v>
      </c>
      <c r="G204">
        <v>0</v>
      </c>
      <c r="H204">
        <v>0</v>
      </c>
      <c r="I204">
        <v>0</v>
      </c>
      <c r="J204">
        <v>0</v>
      </c>
      <c r="K204" t="s">
        <v>109</v>
      </c>
      <c r="L204">
        <v>0</v>
      </c>
      <c r="M204">
        <v>0</v>
      </c>
      <c r="N204">
        <v>0</v>
      </c>
      <c r="O204">
        <v>0</v>
      </c>
    </row>
    <row r="205" spans="1:15" hidden="1" x14ac:dyDescent="0.35">
      <c r="A205" t="s">
        <v>213</v>
      </c>
      <c r="B205" t="s">
        <v>213</v>
      </c>
      <c r="C205" t="s">
        <v>214</v>
      </c>
      <c r="D205">
        <v>100471</v>
      </c>
      <c r="E205" t="s">
        <v>206</v>
      </c>
      <c r="F205">
        <v>0</v>
      </c>
      <c r="G205">
        <v>0</v>
      </c>
      <c r="H205">
        <v>0</v>
      </c>
      <c r="I205">
        <v>0</v>
      </c>
      <c r="J205">
        <v>0</v>
      </c>
      <c r="K205" t="s">
        <v>109</v>
      </c>
      <c r="L205">
        <v>0</v>
      </c>
      <c r="M205">
        <v>0</v>
      </c>
      <c r="N205">
        <v>0</v>
      </c>
      <c r="O205">
        <v>0</v>
      </c>
    </row>
    <row r="206" spans="1:15" hidden="1" x14ac:dyDescent="0.35">
      <c r="A206" t="s">
        <v>213</v>
      </c>
      <c r="B206" t="s">
        <v>213</v>
      </c>
      <c r="C206" t="s">
        <v>214</v>
      </c>
      <c r="D206">
        <v>100471</v>
      </c>
      <c r="E206" t="s">
        <v>207</v>
      </c>
      <c r="F206">
        <v>0</v>
      </c>
      <c r="G206">
        <v>0</v>
      </c>
      <c r="H206">
        <v>0</v>
      </c>
      <c r="I206">
        <v>0</v>
      </c>
      <c r="J206">
        <v>0</v>
      </c>
      <c r="K206" t="s">
        <v>109</v>
      </c>
      <c r="L206">
        <v>0</v>
      </c>
      <c r="M206">
        <v>0</v>
      </c>
      <c r="N206">
        <v>0</v>
      </c>
      <c r="O206">
        <v>0</v>
      </c>
    </row>
    <row r="207" spans="1:15" hidden="1" x14ac:dyDescent="0.35">
      <c r="A207" t="s">
        <v>213</v>
      </c>
      <c r="B207" t="s">
        <v>213</v>
      </c>
      <c r="C207" t="s">
        <v>214</v>
      </c>
      <c r="D207">
        <v>100471</v>
      </c>
      <c r="E207" t="s">
        <v>208</v>
      </c>
      <c r="F207">
        <v>0</v>
      </c>
      <c r="G207">
        <v>0</v>
      </c>
      <c r="H207">
        <v>0</v>
      </c>
      <c r="I207">
        <v>0</v>
      </c>
      <c r="J207">
        <v>0</v>
      </c>
      <c r="K207" t="s">
        <v>109</v>
      </c>
      <c r="L207">
        <v>0</v>
      </c>
      <c r="M207">
        <v>0</v>
      </c>
      <c r="N207">
        <v>0</v>
      </c>
      <c r="O207">
        <v>0</v>
      </c>
    </row>
    <row r="208" spans="1:15" hidden="1" x14ac:dyDescent="0.35">
      <c r="A208" t="s">
        <v>213</v>
      </c>
      <c r="B208" t="s">
        <v>213</v>
      </c>
      <c r="C208" t="s">
        <v>214</v>
      </c>
      <c r="D208">
        <v>100471</v>
      </c>
      <c r="E208" t="s">
        <v>209</v>
      </c>
      <c r="F208">
        <v>0</v>
      </c>
      <c r="G208">
        <v>0</v>
      </c>
      <c r="H208">
        <v>0</v>
      </c>
      <c r="I208">
        <v>0</v>
      </c>
      <c r="J208">
        <v>0</v>
      </c>
      <c r="K208" t="s">
        <v>109</v>
      </c>
      <c r="L208">
        <v>0</v>
      </c>
      <c r="M208">
        <v>0</v>
      </c>
      <c r="N208">
        <v>0</v>
      </c>
      <c r="O208">
        <v>0</v>
      </c>
    </row>
    <row r="209" spans="1:15" hidden="1" x14ac:dyDescent="0.35">
      <c r="A209" t="s">
        <v>213</v>
      </c>
      <c r="B209" t="s">
        <v>213</v>
      </c>
      <c r="C209" t="s">
        <v>214</v>
      </c>
      <c r="D209">
        <v>100471</v>
      </c>
      <c r="E209" t="s">
        <v>210</v>
      </c>
      <c r="F209">
        <v>0</v>
      </c>
      <c r="G209">
        <v>0</v>
      </c>
      <c r="H209">
        <v>0</v>
      </c>
      <c r="I209">
        <v>0</v>
      </c>
      <c r="J209">
        <v>0</v>
      </c>
      <c r="K209" t="s">
        <v>109</v>
      </c>
      <c r="L209">
        <v>0</v>
      </c>
      <c r="M209">
        <v>0</v>
      </c>
      <c r="N209">
        <v>0</v>
      </c>
      <c r="O209">
        <v>0</v>
      </c>
    </row>
    <row r="210" spans="1:15" hidden="1" x14ac:dyDescent="0.35">
      <c r="A210" t="s">
        <v>213</v>
      </c>
      <c r="B210" t="s">
        <v>213</v>
      </c>
      <c r="C210" t="s">
        <v>214</v>
      </c>
      <c r="D210">
        <v>100471</v>
      </c>
      <c r="E210" t="s">
        <v>211</v>
      </c>
      <c r="F210">
        <v>0</v>
      </c>
      <c r="G210">
        <v>0</v>
      </c>
      <c r="H210">
        <v>0</v>
      </c>
      <c r="I210">
        <v>0</v>
      </c>
      <c r="J210">
        <v>0</v>
      </c>
      <c r="K210" t="s">
        <v>109</v>
      </c>
      <c r="L210">
        <v>0</v>
      </c>
      <c r="M210">
        <v>0</v>
      </c>
      <c r="N210">
        <v>0</v>
      </c>
      <c r="O210">
        <v>0</v>
      </c>
    </row>
    <row r="211" spans="1:15" hidden="1" x14ac:dyDescent="0.35">
      <c r="A211" t="s">
        <v>213</v>
      </c>
      <c r="B211" t="s">
        <v>213</v>
      </c>
      <c r="C211" t="s">
        <v>214</v>
      </c>
      <c r="D211">
        <v>100471</v>
      </c>
      <c r="E211" t="s">
        <v>212</v>
      </c>
      <c r="F211">
        <v>0</v>
      </c>
      <c r="G211">
        <v>0</v>
      </c>
      <c r="H211">
        <v>0</v>
      </c>
      <c r="I211">
        <v>0</v>
      </c>
      <c r="J211">
        <v>0</v>
      </c>
      <c r="K211" t="s">
        <v>109</v>
      </c>
      <c r="L211">
        <v>0</v>
      </c>
      <c r="M211">
        <v>0</v>
      </c>
      <c r="N211">
        <v>0</v>
      </c>
      <c r="O211">
        <v>0</v>
      </c>
    </row>
    <row r="212" spans="1:15" hidden="1" x14ac:dyDescent="0.35">
      <c r="A212" t="s">
        <v>223</v>
      </c>
      <c r="B212" t="s">
        <v>223</v>
      </c>
      <c r="C212" t="s">
        <v>223</v>
      </c>
      <c r="D212">
        <v>0</v>
      </c>
      <c r="F212">
        <v>0</v>
      </c>
      <c r="G212">
        <v>0</v>
      </c>
      <c r="H212">
        <v>4.0466666666666598</v>
      </c>
      <c r="I212">
        <v>0</v>
      </c>
      <c r="J212">
        <v>0</v>
      </c>
      <c r="K212" t="s">
        <v>109</v>
      </c>
      <c r="L212">
        <v>0</v>
      </c>
      <c r="M212">
        <v>0</v>
      </c>
      <c r="N212">
        <v>0</v>
      </c>
      <c r="O212">
        <v>-4.0466666666666598</v>
      </c>
    </row>
    <row r="213" spans="1:15" hidden="1" x14ac:dyDescent="0.35">
      <c r="A213" t="s">
        <v>93</v>
      </c>
    </row>
  </sheetData>
  <autoFilter ref="A1:O213">
    <filterColumn colId="1">
      <filters>
        <filter val="Outbound DS"/>
      </filters>
    </filterColumn>
  </autoFilter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O1048576"/>
    </sheetView>
  </sheetViews>
  <sheetFormatPr defaultRowHeight="14.5" x14ac:dyDescent="0.35"/>
  <cols>
    <col min="1" max="1" width="80.726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889</vt:i4>
      </vt:variant>
    </vt:vector>
  </HeadingPairs>
  <TitlesOfParts>
    <vt:vector size="924" baseType="lpstr">
      <vt:lpstr>Welcome</vt:lpstr>
      <vt:lpstr>PPA.13</vt:lpstr>
      <vt:lpstr>PPA.16</vt:lpstr>
      <vt:lpstr>PPA.15</vt:lpstr>
      <vt:lpstr>PPA.14</vt:lpstr>
      <vt:lpstr>24Hour</vt:lpstr>
      <vt:lpstr>PickStage.PPA</vt:lpstr>
      <vt:lpstr>MCO.PPA</vt:lpstr>
      <vt:lpstr>Cycle0.PPA</vt:lpstr>
      <vt:lpstr>Cycle1.PPA</vt:lpstr>
      <vt:lpstr>PFSD.PPA</vt:lpstr>
      <vt:lpstr>Sort 0 Execution</vt:lpstr>
      <vt:lpstr>Sort 1 Execution</vt:lpstr>
      <vt:lpstr>Pick and Stage Execution</vt:lpstr>
      <vt:lpstr>MCO Hourly</vt:lpstr>
      <vt:lpstr>PPA.17</vt:lpstr>
      <vt:lpstr>PPA.18</vt:lpstr>
      <vt:lpstr>PPA.19</vt:lpstr>
      <vt:lpstr>PPA.20</vt:lpstr>
      <vt:lpstr>PPA.21</vt:lpstr>
      <vt:lpstr>PPA.22</vt:lpstr>
      <vt:lpstr>PPA.23</vt:lpstr>
      <vt:lpstr>PPA.0</vt:lpstr>
      <vt:lpstr>PPA.1</vt:lpstr>
      <vt:lpstr>PPA.2</vt:lpstr>
      <vt:lpstr>PPA.3</vt:lpstr>
      <vt:lpstr>PPA.4</vt:lpstr>
      <vt:lpstr>PPA.5</vt:lpstr>
      <vt:lpstr>PPA.6</vt:lpstr>
      <vt:lpstr>PPA.7</vt:lpstr>
      <vt:lpstr>PPA.8</vt:lpstr>
      <vt:lpstr>PPA.9</vt:lpstr>
      <vt:lpstr>PPA.10</vt:lpstr>
      <vt:lpstr>PPA.11</vt:lpstr>
      <vt:lpstr>PPA.12</vt:lpstr>
      <vt:lpstr>cycle0End</vt:lpstr>
      <vt:lpstr>Cycle0Range</vt:lpstr>
      <vt:lpstr>cycle0Start</vt:lpstr>
      <vt:lpstr>cycle1End</vt:lpstr>
      <vt:lpstr>Cycle1Range</vt:lpstr>
      <vt:lpstr>cycle1Start</vt:lpstr>
      <vt:lpstr>'MCO Hourly'!DateH</vt:lpstr>
      <vt:lpstr>'Pick and Stage Execution'!DateH</vt:lpstr>
      <vt:lpstr>'Sort 0 Execution'!DateH</vt:lpstr>
      <vt:lpstr>'Sort 1 Execution'!DateH</vt:lpstr>
      <vt:lpstr>'MCO Hourly'!EndDate</vt:lpstr>
      <vt:lpstr>'Pick and Stage Execution'!EndDate</vt:lpstr>
      <vt:lpstr>'Sort 0 Execution'!EndDate</vt:lpstr>
      <vt:lpstr>'Sort 1 Execution'!EndDate</vt:lpstr>
      <vt:lpstr>EndDate</vt:lpstr>
      <vt:lpstr>'MCO Hourly'!EndTime</vt:lpstr>
      <vt:lpstr>'Sort 0 Execution'!EndTime</vt:lpstr>
      <vt:lpstr>EndTime</vt:lpstr>
      <vt:lpstr>Cycle0.PPA!ExternalData_1</vt:lpstr>
      <vt:lpstr>Cycle1.PPA!ExternalData_1</vt:lpstr>
      <vt:lpstr>MCO.PPA!ExternalData_1</vt:lpstr>
      <vt:lpstr>PFSD.PPA!ExternalData_1</vt:lpstr>
      <vt:lpstr>PickStage.PPA!ExternalData_1</vt:lpstr>
      <vt:lpstr>PPA.0!ExternalData_1</vt:lpstr>
      <vt:lpstr>PPA.1!ExternalData_1</vt:lpstr>
      <vt:lpstr>PPA.10!ExternalData_1</vt:lpstr>
      <vt:lpstr>PPA.11!ExternalData_1</vt:lpstr>
      <vt:lpstr>PPA.12!ExternalData_1</vt:lpstr>
      <vt:lpstr>PPA.13!ExternalData_1</vt:lpstr>
      <vt:lpstr>PPA.14!ExternalData_1</vt:lpstr>
      <vt:lpstr>PPA.15!ExternalData_1</vt:lpstr>
      <vt:lpstr>PPA.16!ExternalData_1</vt:lpstr>
      <vt:lpstr>PPA.17!ExternalData_1</vt:lpstr>
      <vt:lpstr>PPA.18!ExternalData_1</vt:lpstr>
      <vt:lpstr>PPA.19!ExternalData_1</vt:lpstr>
      <vt:lpstr>PPA.2!ExternalData_1</vt:lpstr>
      <vt:lpstr>PPA.20!ExternalData_1</vt:lpstr>
      <vt:lpstr>PPA.21!ExternalData_1</vt:lpstr>
      <vt:lpstr>PPA.22!ExternalData_1</vt:lpstr>
      <vt:lpstr>PPA.23!ExternalData_1</vt:lpstr>
      <vt:lpstr>PPA.3!ExternalData_1</vt:lpstr>
      <vt:lpstr>PPA.4!ExternalData_1</vt:lpstr>
      <vt:lpstr>PPA.5!ExternalData_1</vt:lpstr>
      <vt:lpstr>PPA.6!ExternalData_1</vt:lpstr>
      <vt:lpstr>PPA.7!ExternalData_1</vt:lpstr>
      <vt:lpstr>PPA.8!ExternalData_1</vt:lpstr>
      <vt:lpstr>PPA.9!ExternalData_1</vt:lpstr>
      <vt:lpstr>MCO.PPA!ExternalData_10</vt:lpstr>
      <vt:lpstr>PickStage.PPA!ExternalData_10</vt:lpstr>
      <vt:lpstr>PPA.0!ExternalData_10</vt:lpstr>
      <vt:lpstr>PPA.1!ExternalData_10</vt:lpstr>
      <vt:lpstr>PPA.10!ExternalData_10</vt:lpstr>
      <vt:lpstr>PPA.11!ExternalData_10</vt:lpstr>
      <vt:lpstr>PPA.12!ExternalData_10</vt:lpstr>
      <vt:lpstr>PPA.16!ExternalData_10</vt:lpstr>
      <vt:lpstr>PPA.17!ExternalData_10</vt:lpstr>
      <vt:lpstr>PPA.18!ExternalData_10</vt:lpstr>
      <vt:lpstr>PPA.19!ExternalData_10</vt:lpstr>
      <vt:lpstr>PPA.2!ExternalData_10</vt:lpstr>
      <vt:lpstr>PPA.20!ExternalData_10</vt:lpstr>
      <vt:lpstr>PPA.21!ExternalData_10</vt:lpstr>
      <vt:lpstr>PPA.22!ExternalData_10</vt:lpstr>
      <vt:lpstr>PPA.23!ExternalData_10</vt:lpstr>
      <vt:lpstr>PPA.3!ExternalData_10</vt:lpstr>
      <vt:lpstr>PPA.4!ExternalData_10</vt:lpstr>
      <vt:lpstr>PPA.5!ExternalData_10</vt:lpstr>
      <vt:lpstr>PPA.6!ExternalData_10</vt:lpstr>
      <vt:lpstr>PPA.7!ExternalData_10</vt:lpstr>
      <vt:lpstr>PPA.8!ExternalData_10</vt:lpstr>
      <vt:lpstr>PPA.9!ExternalData_10</vt:lpstr>
      <vt:lpstr>MCO.PPA!ExternalData_11</vt:lpstr>
      <vt:lpstr>PickStage.PPA!ExternalData_11</vt:lpstr>
      <vt:lpstr>PPA.0!ExternalData_11</vt:lpstr>
      <vt:lpstr>PPA.1!ExternalData_11</vt:lpstr>
      <vt:lpstr>PPA.10!ExternalData_11</vt:lpstr>
      <vt:lpstr>PPA.11!ExternalData_11</vt:lpstr>
      <vt:lpstr>PPA.12!ExternalData_11</vt:lpstr>
      <vt:lpstr>PPA.16!ExternalData_11</vt:lpstr>
      <vt:lpstr>PPA.17!ExternalData_11</vt:lpstr>
      <vt:lpstr>PPA.18!ExternalData_11</vt:lpstr>
      <vt:lpstr>PPA.19!ExternalData_11</vt:lpstr>
      <vt:lpstr>PPA.2!ExternalData_11</vt:lpstr>
      <vt:lpstr>PPA.20!ExternalData_11</vt:lpstr>
      <vt:lpstr>PPA.21!ExternalData_11</vt:lpstr>
      <vt:lpstr>PPA.22!ExternalData_11</vt:lpstr>
      <vt:lpstr>PPA.23!ExternalData_11</vt:lpstr>
      <vt:lpstr>PPA.3!ExternalData_11</vt:lpstr>
      <vt:lpstr>PPA.4!ExternalData_11</vt:lpstr>
      <vt:lpstr>PPA.5!ExternalData_11</vt:lpstr>
      <vt:lpstr>PPA.6!ExternalData_11</vt:lpstr>
      <vt:lpstr>PPA.7!ExternalData_11</vt:lpstr>
      <vt:lpstr>PPA.8!ExternalData_11</vt:lpstr>
      <vt:lpstr>PPA.9!ExternalData_11</vt:lpstr>
      <vt:lpstr>PickStage.PPA!ExternalData_12</vt:lpstr>
      <vt:lpstr>PPA.0!ExternalData_12</vt:lpstr>
      <vt:lpstr>PPA.1!ExternalData_12</vt:lpstr>
      <vt:lpstr>PPA.10!ExternalData_12</vt:lpstr>
      <vt:lpstr>PPA.11!ExternalData_12</vt:lpstr>
      <vt:lpstr>PPA.12!ExternalData_12</vt:lpstr>
      <vt:lpstr>PPA.16!ExternalData_12</vt:lpstr>
      <vt:lpstr>PPA.17!ExternalData_12</vt:lpstr>
      <vt:lpstr>PPA.18!ExternalData_12</vt:lpstr>
      <vt:lpstr>PPA.19!ExternalData_12</vt:lpstr>
      <vt:lpstr>PPA.2!ExternalData_12</vt:lpstr>
      <vt:lpstr>PPA.20!ExternalData_12</vt:lpstr>
      <vt:lpstr>PPA.21!ExternalData_12</vt:lpstr>
      <vt:lpstr>PPA.22!ExternalData_12</vt:lpstr>
      <vt:lpstr>PPA.23!ExternalData_12</vt:lpstr>
      <vt:lpstr>PPA.3!ExternalData_12</vt:lpstr>
      <vt:lpstr>PPA.4!ExternalData_12</vt:lpstr>
      <vt:lpstr>PPA.5!ExternalData_12</vt:lpstr>
      <vt:lpstr>PPA.6!ExternalData_12</vt:lpstr>
      <vt:lpstr>PPA.7!ExternalData_12</vt:lpstr>
      <vt:lpstr>PPA.8!ExternalData_12</vt:lpstr>
      <vt:lpstr>PPA.9!ExternalData_12</vt:lpstr>
      <vt:lpstr>PickStage.PPA!ExternalData_13</vt:lpstr>
      <vt:lpstr>PPA.0!ExternalData_13</vt:lpstr>
      <vt:lpstr>PPA.1!ExternalData_13</vt:lpstr>
      <vt:lpstr>PPA.10!ExternalData_13</vt:lpstr>
      <vt:lpstr>PPA.11!ExternalData_13</vt:lpstr>
      <vt:lpstr>PPA.12!ExternalData_13</vt:lpstr>
      <vt:lpstr>PPA.16!ExternalData_13</vt:lpstr>
      <vt:lpstr>PPA.17!ExternalData_13</vt:lpstr>
      <vt:lpstr>PPA.18!ExternalData_13</vt:lpstr>
      <vt:lpstr>PPA.19!ExternalData_13</vt:lpstr>
      <vt:lpstr>PPA.2!ExternalData_13</vt:lpstr>
      <vt:lpstr>PPA.20!ExternalData_13</vt:lpstr>
      <vt:lpstr>PPA.21!ExternalData_13</vt:lpstr>
      <vt:lpstr>PPA.22!ExternalData_13</vt:lpstr>
      <vt:lpstr>PPA.23!ExternalData_13</vt:lpstr>
      <vt:lpstr>PPA.3!ExternalData_13</vt:lpstr>
      <vt:lpstr>PPA.4!ExternalData_13</vt:lpstr>
      <vt:lpstr>PPA.5!ExternalData_13</vt:lpstr>
      <vt:lpstr>PPA.6!ExternalData_13</vt:lpstr>
      <vt:lpstr>PPA.7!ExternalData_13</vt:lpstr>
      <vt:lpstr>PPA.8!ExternalData_13</vt:lpstr>
      <vt:lpstr>PPA.9!ExternalData_13</vt:lpstr>
      <vt:lpstr>PPA.0!ExternalData_14</vt:lpstr>
      <vt:lpstr>PPA.1!ExternalData_14</vt:lpstr>
      <vt:lpstr>PPA.10!ExternalData_14</vt:lpstr>
      <vt:lpstr>PPA.11!ExternalData_14</vt:lpstr>
      <vt:lpstr>PPA.12!ExternalData_14</vt:lpstr>
      <vt:lpstr>PPA.16!ExternalData_14</vt:lpstr>
      <vt:lpstr>PPA.17!ExternalData_14</vt:lpstr>
      <vt:lpstr>PPA.18!ExternalData_14</vt:lpstr>
      <vt:lpstr>PPA.19!ExternalData_14</vt:lpstr>
      <vt:lpstr>PPA.2!ExternalData_14</vt:lpstr>
      <vt:lpstr>PPA.20!ExternalData_14</vt:lpstr>
      <vt:lpstr>PPA.21!ExternalData_14</vt:lpstr>
      <vt:lpstr>PPA.22!ExternalData_14</vt:lpstr>
      <vt:lpstr>PPA.23!ExternalData_14</vt:lpstr>
      <vt:lpstr>PPA.3!ExternalData_14</vt:lpstr>
      <vt:lpstr>PPA.4!ExternalData_14</vt:lpstr>
      <vt:lpstr>PPA.5!ExternalData_14</vt:lpstr>
      <vt:lpstr>PPA.6!ExternalData_14</vt:lpstr>
      <vt:lpstr>PPA.7!ExternalData_14</vt:lpstr>
      <vt:lpstr>PPA.8!ExternalData_14</vt:lpstr>
      <vt:lpstr>PPA.9!ExternalData_14</vt:lpstr>
      <vt:lpstr>PPA.0!ExternalData_15</vt:lpstr>
      <vt:lpstr>PPA.1!ExternalData_15</vt:lpstr>
      <vt:lpstr>PPA.10!ExternalData_15</vt:lpstr>
      <vt:lpstr>PPA.11!ExternalData_15</vt:lpstr>
      <vt:lpstr>PPA.12!ExternalData_15</vt:lpstr>
      <vt:lpstr>PPA.16!ExternalData_15</vt:lpstr>
      <vt:lpstr>PPA.17!ExternalData_15</vt:lpstr>
      <vt:lpstr>PPA.18!ExternalData_15</vt:lpstr>
      <vt:lpstr>PPA.19!ExternalData_15</vt:lpstr>
      <vt:lpstr>PPA.2!ExternalData_15</vt:lpstr>
      <vt:lpstr>PPA.20!ExternalData_15</vt:lpstr>
      <vt:lpstr>PPA.21!ExternalData_15</vt:lpstr>
      <vt:lpstr>PPA.22!ExternalData_15</vt:lpstr>
      <vt:lpstr>PPA.23!ExternalData_15</vt:lpstr>
      <vt:lpstr>PPA.3!ExternalData_15</vt:lpstr>
      <vt:lpstr>PPA.4!ExternalData_15</vt:lpstr>
      <vt:lpstr>PPA.5!ExternalData_15</vt:lpstr>
      <vt:lpstr>PPA.6!ExternalData_15</vt:lpstr>
      <vt:lpstr>PPA.7!ExternalData_15</vt:lpstr>
      <vt:lpstr>PPA.8!ExternalData_15</vt:lpstr>
      <vt:lpstr>PPA.9!ExternalData_15</vt:lpstr>
      <vt:lpstr>PPA.0!ExternalData_16</vt:lpstr>
      <vt:lpstr>PPA.1!ExternalData_16</vt:lpstr>
      <vt:lpstr>PPA.10!ExternalData_16</vt:lpstr>
      <vt:lpstr>PPA.11!ExternalData_16</vt:lpstr>
      <vt:lpstr>PPA.12!ExternalData_16</vt:lpstr>
      <vt:lpstr>PPA.16!ExternalData_16</vt:lpstr>
      <vt:lpstr>PPA.17!ExternalData_16</vt:lpstr>
      <vt:lpstr>PPA.18!ExternalData_16</vt:lpstr>
      <vt:lpstr>PPA.19!ExternalData_16</vt:lpstr>
      <vt:lpstr>PPA.2!ExternalData_16</vt:lpstr>
      <vt:lpstr>PPA.20!ExternalData_16</vt:lpstr>
      <vt:lpstr>PPA.21!ExternalData_16</vt:lpstr>
      <vt:lpstr>PPA.22!ExternalData_16</vt:lpstr>
      <vt:lpstr>PPA.23!ExternalData_16</vt:lpstr>
      <vt:lpstr>PPA.3!ExternalData_16</vt:lpstr>
      <vt:lpstr>PPA.4!ExternalData_16</vt:lpstr>
      <vt:lpstr>PPA.5!ExternalData_16</vt:lpstr>
      <vt:lpstr>PPA.6!ExternalData_16</vt:lpstr>
      <vt:lpstr>PPA.7!ExternalData_16</vt:lpstr>
      <vt:lpstr>PPA.8!ExternalData_16</vt:lpstr>
      <vt:lpstr>PPA.9!ExternalData_16</vt:lpstr>
      <vt:lpstr>PPA.0!ExternalData_17</vt:lpstr>
      <vt:lpstr>PPA.1!ExternalData_17</vt:lpstr>
      <vt:lpstr>PPA.10!ExternalData_17</vt:lpstr>
      <vt:lpstr>PPA.11!ExternalData_17</vt:lpstr>
      <vt:lpstr>PPA.16!ExternalData_17</vt:lpstr>
      <vt:lpstr>PPA.17!ExternalData_17</vt:lpstr>
      <vt:lpstr>PPA.18!ExternalData_17</vt:lpstr>
      <vt:lpstr>PPA.19!ExternalData_17</vt:lpstr>
      <vt:lpstr>PPA.2!ExternalData_17</vt:lpstr>
      <vt:lpstr>PPA.20!ExternalData_17</vt:lpstr>
      <vt:lpstr>PPA.21!ExternalData_17</vt:lpstr>
      <vt:lpstr>PPA.22!ExternalData_17</vt:lpstr>
      <vt:lpstr>PPA.23!ExternalData_17</vt:lpstr>
      <vt:lpstr>PPA.3!ExternalData_17</vt:lpstr>
      <vt:lpstr>PPA.4!ExternalData_17</vt:lpstr>
      <vt:lpstr>PPA.5!ExternalData_17</vt:lpstr>
      <vt:lpstr>PPA.6!ExternalData_17</vt:lpstr>
      <vt:lpstr>PPA.7!ExternalData_17</vt:lpstr>
      <vt:lpstr>PPA.8!ExternalData_17</vt:lpstr>
      <vt:lpstr>PPA.9!ExternalData_17</vt:lpstr>
      <vt:lpstr>PPA.0!ExternalData_18</vt:lpstr>
      <vt:lpstr>PPA.1!ExternalData_18</vt:lpstr>
      <vt:lpstr>PPA.10!ExternalData_18</vt:lpstr>
      <vt:lpstr>PPA.11!ExternalData_18</vt:lpstr>
      <vt:lpstr>PPA.16!ExternalData_18</vt:lpstr>
      <vt:lpstr>PPA.17!ExternalData_18</vt:lpstr>
      <vt:lpstr>PPA.18!ExternalData_18</vt:lpstr>
      <vt:lpstr>PPA.19!ExternalData_18</vt:lpstr>
      <vt:lpstr>PPA.2!ExternalData_18</vt:lpstr>
      <vt:lpstr>PPA.20!ExternalData_18</vt:lpstr>
      <vt:lpstr>PPA.21!ExternalData_18</vt:lpstr>
      <vt:lpstr>PPA.22!ExternalData_18</vt:lpstr>
      <vt:lpstr>PPA.23!ExternalData_18</vt:lpstr>
      <vt:lpstr>PPA.3!ExternalData_18</vt:lpstr>
      <vt:lpstr>PPA.4!ExternalData_18</vt:lpstr>
      <vt:lpstr>PPA.5!ExternalData_18</vt:lpstr>
      <vt:lpstr>PPA.6!ExternalData_18</vt:lpstr>
      <vt:lpstr>PPA.7!ExternalData_18</vt:lpstr>
      <vt:lpstr>PPA.8!ExternalData_18</vt:lpstr>
      <vt:lpstr>PPA.9!ExternalData_18</vt:lpstr>
      <vt:lpstr>PPA.0!ExternalData_19</vt:lpstr>
      <vt:lpstr>PPA.1!ExternalData_19</vt:lpstr>
      <vt:lpstr>PPA.10!ExternalData_19</vt:lpstr>
      <vt:lpstr>PPA.11!ExternalData_19</vt:lpstr>
      <vt:lpstr>PPA.16!ExternalData_19</vt:lpstr>
      <vt:lpstr>PPA.17!ExternalData_19</vt:lpstr>
      <vt:lpstr>PPA.18!ExternalData_19</vt:lpstr>
      <vt:lpstr>PPA.19!ExternalData_19</vt:lpstr>
      <vt:lpstr>PPA.2!ExternalData_19</vt:lpstr>
      <vt:lpstr>PPA.20!ExternalData_19</vt:lpstr>
      <vt:lpstr>PPA.21!ExternalData_19</vt:lpstr>
      <vt:lpstr>PPA.22!ExternalData_19</vt:lpstr>
      <vt:lpstr>PPA.23!ExternalData_19</vt:lpstr>
      <vt:lpstr>PPA.3!ExternalData_19</vt:lpstr>
      <vt:lpstr>PPA.4!ExternalData_19</vt:lpstr>
      <vt:lpstr>PPA.5!ExternalData_19</vt:lpstr>
      <vt:lpstr>PPA.6!ExternalData_19</vt:lpstr>
      <vt:lpstr>PPA.7!ExternalData_19</vt:lpstr>
      <vt:lpstr>PPA.8!ExternalData_19</vt:lpstr>
      <vt:lpstr>PPA.9!ExternalData_19</vt:lpstr>
      <vt:lpstr>Cycle0.PPA!ExternalData_2</vt:lpstr>
      <vt:lpstr>MCO.PPA!ExternalData_2</vt:lpstr>
      <vt:lpstr>PFSD.PPA!ExternalData_2</vt:lpstr>
      <vt:lpstr>PickStage.PPA!ExternalData_2</vt:lpstr>
      <vt:lpstr>PPA.0!ExternalData_2</vt:lpstr>
      <vt:lpstr>PPA.1!ExternalData_2</vt:lpstr>
      <vt:lpstr>PPA.10!ExternalData_2</vt:lpstr>
      <vt:lpstr>PPA.11!ExternalData_2</vt:lpstr>
      <vt:lpstr>PPA.12!ExternalData_2</vt:lpstr>
      <vt:lpstr>PPA.13!ExternalData_2</vt:lpstr>
      <vt:lpstr>PPA.14!ExternalData_2</vt:lpstr>
      <vt:lpstr>PPA.15!ExternalData_2</vt:lpstr>
      <vt:lpstr>PPA.16!ExternalData_2</vt:lpstr>
      <vt:lpstr>PPA.17!ExternalData_2</vt:lpstr>
      <vt:lpstr>PPA.18!ExternalData_2</vt:lpstr>
      <vt:lpstr>PPA.19!ExternalData_2</vt:lpstr>
      <vt:lpstr>PPA.2!ExternalData_2</vt:lpstr>
      <vt:lpstr>PPA.20!ExternalData_2</vt:lpstr>
      <vt:lpstr>PPA.21!ExternalData_2</vt:lpstr>
      <vt:lpstr>PPA.22!ExternalData_2</vt:lpstr>
      <vt:lpstr>PPA.23!ExternalData_2</vt:lpstr>
      <vt:lpstr>PPA.3!ExternalData_2</vt:lpstr>
      <vt:lpstr>PPA.4!ExternalData_2</vt:lpstr>
      <vt:lpstr>PPA.5!ExternalData_2</vt:lpstr>
      <vt:lpstr>PPA.6!ExternalData_2</vt:lpstr>
      <vt:lpstr>PPA.7!ExternalData_2</vt:lpstr>
      <vt:lpstr>PPA.8!ExternalData_2</vt:lpstr>
      <vt:lpstr>PPA.9!ExternalData_2</vt:lpstr>
      <vt:lpstr>PPA.0!ExternalData_20</vt:lpstr>
      <vt:lpstr>PPA.1!ExternalData_20</vt:lpstr>
      <vt:lpstr>PPA.10!ExternalData_20</vt:lpstr>
      <vt:lpstr>PPA.11!ExternalData_20</vt:lpstr>
      <vt:lpstr>PPA.16!ExternalData_20</vt:lpstr>
      <vt:lpstr>PPA.17!ExternalData_20</vt:lpstr>
      <vt:lpstr>PPA.18!ExternalData_20</vt:lpstr>
      <vt:lpstr>PPA.19!ExternalData_20</vt:lpstr>
      <vt:lpstr>PPA.2!ExternalData_20</vt:lpstr>
      <vt:lpstr>PPA.20!ExternalData_20</vt:lpstr>
      <vt:lpstr>PPA.21!ExternalData_20</vt:lpstr>
      <vt:lpstr>PPA.22!ExternalData_20</vt:lpstr>
      <vt:lpstr>PPA.23!ExternalData_20</vt:lpstr>
      <vt:lpstr>PPA.3!ExternalData_20</vt:lpstr>
      <vt:lpstr>PPA.4!ExternalData_20</vt:lpstr>
      <vt:lpstr>PPA.5!ExternalData_20</vt:lpstr>
      <vt:lpstr>PPA.6!ExternalData_20</vt:lpstr>
      <vt:lpstr>PPA.7!ExternalData_20</vt:lpstr>
      <vt:lpstr>PPA.8!ExternalData_20</vt:lpstr>
      <vt:lpstr>PPA.9!ExternalData_20</vt:lpstr>
      <vt:lpstr>PPA.0!ExternalData_21</vt:lpstr>
      <vt:lpstr>PPA.1!ExternalData_21</vt:lpstr>
      <vt:lpstr>PPA.10!ExternalData_21</vt:lpstr>
      <vt:lpstr>PPA.11!ExternalData_21</vt:lpstr>
      <vt:lpstr>PPA.16!ExternalData_21</vt:lpstr>
      <vt:lpstr>PPA.17!ExternalData_21</vt:lpstr>
      <vt:lpstr>PPA.18!ExternalData_21</vt:lpstr>
      <vt:lpstr>PPA.19!ExternalData_21</vt:lpstr>
      <vt:lpstr>PPA.2!ExternalData_21</vt:lpstr>
      <vt:lpstr>PPA.20!ExternalData_21</vt:lpstr>
      <vt:lpstr>PPA.21!ExternalData_21</vt:lpstr>
      <vt:lpstr>PPA.22!ExternalData_21</vt:lpstr>
      <vt:lpstr>PPA.23!ExternalData_21</vt:lpstr>
      <vt:lpstr>PPA.3!ExternalData_21</vt:lpstr>
      <vt:lpstr>PPA.4!ExternalData_21</vt:lpstr>
      <vt:lpstr>PPA.5!ExternalData_21</vt:lpstr>
      <vt:lpstr>PPA.6!ExternalData_21</vt:lpstr>
      <vt:lpstr>PPA.7!ExternalData_21</vt:lpstr>
      <vt:lpstr>PPA.8!ExternalData_21</vt:lpstr>
      <vt:lpstr>PPA.9!ExternalData_21</vt:lpstr>
      <vt:lpstr>PPA.0!ExternalData_22</vt:lpstr>
      <vt:lpstr>PPA.1!ExternalData_22</vt:lpstr>
      <vt:lpstr>PPA.10!ExternalData_22</vt:lpstr>
      <vt:lpstr>PPA.11!ExternalData_22</vt:lpstr>
      <vt:lpstr>PPA.16!ExternalData_22</vt:lpstr>
      <vt:lpstr>PPA.17!ExternalData_22</vt:lpstr>
      <vt:lpstr>PPA.18!ExternalData_22</vt:lpstr>
      <vt:lpstr>PPA.19!ExternalData_22</vt:lpstr>
      <vt:lpstr>PPA.2!ExternalData_22</vt:lpstr>
      <vt:lpstr>PPA.20!ExternalData_22</vt:lpstr>
      <vt:lpstr>PPA.21!ExternalData_22</vt:lpstr>
      <vt:lpstr>PPA.22!ExternalData_22</vt:lpstr>
      <vt:lpstr>PPA.23!ExternalData_22</vt:lpstr>
      <vt:lpstr>PPA.3!ExternalData_22</vt:lpstr>
      <vt:lpstr>PPA.4!ExternalData_22</vt:lpstr>
      <vt:lpstr>PPA.5!ExternalData_22</vt:lpstr>
      <vt:lpstr>PPA.6!ExternalData_22</vt:lpstr>
      <vt:lpstr>PPA.7!ExternalData_22</vt:lpstr>
      <vt:lpstr>PPA.8!ExternalData_22</vt:lpstr>
      <vt:lpstr>PPA.9!ExternalData_22</vt:lpstr>
      <vt:lpstr>PPA.0!ExternalData_23</vt:lpstr>
      <vt:lpstr>PPA.1!ExternalData_23</vt:lpstr>
      <vt:lpstr>PPA.10!ExternalData_23</vt:lpstr>
      <vt:lpstr>PPA.11!ExternalData_23</vt:lpstr>
      <vt:lpstr>PPA.16!ExternalData_23</vt:lpstr>
      <vt:lpstr>PPA.17!ExternalData_23</vt:lpstr>
      <vt:lpstr>PPA.18!ExternalData_23</vt:lpstr>
      <vt:lpstr>PPA.19!ExternalData_23</vt:lpstr>
      <vt:lpstr>PPA.2!ExternalData_23</vt:lpstr>
      <vt:lpstr>PPA.20!ExternalData_23</vt:lpstr>
      <vt:lpstr>PPA.21!ExternalData_23</vt:lpstr>
      <vt:lpstr>PPA.22!ExternalData_23</vt:lpstr>
      <vt:lpstr>PPA.23!ExternalData_23</vt:lpstr>
      <vt:lpstr>PPA.3!ExternalData_23</vt:lpstr>
      <vt:lpstr>PPA.4!ExternalData_23</vt:lpstr>
      <vt:lpstr>PPA.5!ExternalData_23</vt:lpstr>
      <vt:lpstr>PPA.6!ExternalData_23</vt:lpstr>
      <vt:lpstr>PPA.7!ExternalData_23</vt:lpstr>
      <vt:lpstr>PPA.8!ExternalData_23</vt:lpstr>
      <vt:lpstr>PPA.9!ExternalData_23</vt:lpstr>
      <vt:lpstr>PPA.0!ExternalData_24</vt:lpstr>
      <vt:lpstr>PPA.1!ExternalData_24</vt:lpstr>
      <vt:lpstr>PPA.10!ExternalData_24</vt:lpstr>
      <vt:lpstr>PPA.11!ExternalData_24</vt:lpstr>
      <vt:lpstr>PPA.16!ExternalData_24</vt:lpstr>
      <vt:lpstr>PPA.17!ExternalData_24</vt:lpstr>
      <vt:lpstr>PPA.18!ExternalData_24</vt:lpstr>
      <vt:lpstr>PPA.19!ExternalData_24</vt:lpstr>
      <vt:lpstr>PPA.2!ExternalData_24</vt:lpstr>
      <vt:lpstr>PPA.20!ExternalData_24</vt:lpstr>
      <vt:lpstr>PPA.21!ExternalData_24</vt:lpstr>
      <vt:lpstr>PPA.22!ExternalData_24</vt:lpstr>
      <vt:lpstr>PPA.23!ExternalData_24</vt:lpstr>
      <vt:lpstr>PPA.3!ExternalData_24</vt:lpstr>
      <vt:lpstr>PPA.4!ExternalData_24</vt:lpstr>
      <vt:lpstr>PPA.5!ExternalData_24</vt:lpstr>
      <vt:lpstr>PPA.6!ExternalData_24</vt:lpstr>
      <vt:lpstr>PPA.7!ExternalData_24</vt:lpstr>
      <vt:lpstr>PPA.8!ExternalData_24</vt:lpstr>
      <vt:lpstr>PPA.9!ExternalData_24</vt:lpstr>
      <vt:lpstr>PPA.1!ExternalData_25</vt:lpstr>
      <vt:lpstr>PPA.10!ExternalData_25</vt:lpstr>
      <vt:lpstr>PPA.11!ExternalData_25</vt:lpstr>
      <vt:lpstr>PPA.16!ExternalData_25</vt:lpstr>
      <vt:lpstr>PPA.17!ExternalData_25</vt:lpstr>
      <vt:lpstr>PPA.18!ExternalData_25</vt:lpstr>
      <vt:lpstr>PPA.19!ExternalData_25</vt:lpstr>
      <vt:lpstr>PPA.2!ExternalData_25</vt:lpstr>
      <vt:lpstr>PPA.20!ExternalData_25</vt:lpstr>
      <vt:lpstr>PPA.21!ExternalData_25</vt:lpstr>
      <vt:lpstr>PPA.22!ExternalData_25</vt:lpstr>
      <vt:lpstr>PPA.23!ExternalData_25</vt:lpstr>
      <vt:lpstr>PPA.3!ExternalData_25</vt:lpstr>
      <vt:lpstr>PPA.4!ExternalData_25</vt:lpstr>
      <vt:lpstr>PPA.5!ExternalData_25</vt:lpstr>
      <vt:lpstr>PPA.6!ExternalData_25</vt:lpstr>
      <vt:lpstr>PPA.7!ExternalData_25</vt:lpstr>
      <vt:lpstr>PPA.8!ExternalData_25</vt:lpstr>
      <vt:lpstr>PPA.9!ExternalData_25</vt:lpstr>
      <vt:lpstr>PPA.1!ExternalData_26</vt:lpstr>
      <vt:lpstr>PPA.10!ExternalData_26</vt:lpstr>
      <vt:lpstr>PPA.11!ExternalData_26</vt:lpstr>
      <vt:lpstr>PPA.16!ExternalData_26</vt:lpstr>
      <vt:lpstr>PPA.17!ExternalData_26</vt:lpstr>
      <vt:lpstr>PPA.18!ExternalData_26</vt:lpstr>
      <vt:lpstr>PPA.19!ExternalData_26</vt:lpstr>
      <vt:lpstr>PPA.2!ExternalData_26</vt:lpstr>
      <vt:lpstr>PPA.20!ExternalData_26</vt:lpstr>
      <vt:lpstr>PPA.21!ExternalData_26</vt:lpstr>
      <vt:lpstr>PPA.22!ExternalData_26</vt:lpstr>
      <vt:lpstr>PPA.23!ExternalData_26</vt:lpstr>
      <vt:lpstr>PPA.3!ExternalData_26</vt:lpstr>
      <vt:lpstr>PPA.4!ExternalData_26</vt:lpstr>
      <vt:lpstr>PPA.5!ExternalData_26</vt:lpstr>
      <vt:lpstr>PPA.6!ExternalData_26</vt:lpstr>
      <vt:lpstr>PPA.7!ExternalData_26</vt:lpstr>
      <vt:lpstr>PPA.8!ExternalData_26</vt:lpstr>
      <vt:lpstr>PPA.9!ExternalData_26</vt:lpstr>
      <vt:lpstr>PPA.1!ExternalData_27</vt:lpstr>
      <vt:lpstr>PPA.10!ExternalData_27</vt:lpstr>
      <vt:lpstr>PPA.11!ExternalData_27</vt:lpstr>
      <vt:lpstr>PPA.16!ExternalData_27</vt:lpstr>
      <vt:lpstr>PPA.17!ExternalData_27</vt:lpstr>
      <vt:lpstr>PPA.18!ExternalData_27</vt:lpstr>
      <vt:lpstr>PPA.19!ExternalData_27</vt:lpstr>
      <vt:lpstr>PPA.2!ExternalData_27</vt:lpstr>
      <vt:lpstr>PPA.20!ExternalData_27</vt:lpstr>
      <vt:lpstr>PPA.21!ExternalData_27</vt:lpstr>
      <vt:lpstr>PPA.22!ExternalData_27</vt:lpstr>
      <vt:lpstr>PPA.23!ExternalData_27</vt:lpstr>
      <vt:lpstr>PPA.3!ExternalData_27</vt:lpstr>
      <vt:lpstr>PPA.4!ExternalData_27</vt:lpstr>
      <vt:lpstr>PPA.5!ExternalData_27</vt:lpstr>
      <vt:lpstr>PPA.6!ExternalData_27</vt:lpstr>
      <vt:lpstr>PPA.7!ExternalData_27</vt:lpstr>
      <vt:lpstr>PPA.8!ExternalData_27</vt:lpstr>
      <vt:lpstr>PPA.9!ExternalData_27</vt:lpstr>
      <vt:lpstr>PPA.10!ExternalData_28</vt:lpstr>
      <vt:lpstr>PPA.11!ExternalData_28</vt:lpstr>
      <vt:lpstr>PPA.16!ExternalData_28</vt:lpstr>
      <vt:lpstr>PPA.17!ExternalData_28</vt:lpstr>
      <vt:lpstr>PPA.18!ExternalData_28</vt:lpstr>
      <vt:lpstr>PPA.19!ExternalData_28</vt:lpstr>
      <vt:lpstr>PPA.2!ExternalData_28</vt:lpstr>
      <vt:lpstr>PPA.20!ExternalData_28</vt:lpstr>
      <vt:lpstr>PPA.21!ExternalData_28</vt:lpstr>
      <vt:lpstr>PPA.22!ExternalData_28</vt:lpstr>
      <vt:lpstr>PPA.23!ExternalData_28</vt:lpstr>
      <vt:lpstr>PPA.3!ExternalData_28</vt:lpstr>
      <vt:lpstr>PPA.4!ExternalData_28</vt:lpstr>
      <vt:lpstr>PPA.5!ExternalData_28</vt:lpstr>
      <vt:lpstr>PPA.6!ExternalData_28</vt:lpstr>
      <vt:lpstr>PPA.7!ExternalData_28</vt:lpstr>
      <vt:lpstr>PPA.8!ExternalData_28</vt:lpstr>
      <vt:lpstr>PPA.9!ExternalData_28</vt:lpstr>
      <vt:lpstr>PPA.10!ExternalData_29</vt:lpstr>
      <vt:lpstr>PPA.11!ExternalData_29</vt:lpstr>
      <vt:lpstr>PPA.17!ExternalData_29</vt:lpstr>
      <vt:lpstr>PPA.18!ExternalData_29</vt:lpstr>
      <vt:lpstr>PPA.19!ExternalData_29</vt:lpstr>
      <vt:lpstr>PPA.2!ExternalData_29</vt:lpstr>
      <vt:lpstr>PPA.20!ExternalData_29</vt:lpstr>
      <vt:lpstr>PPA.21!ExternalData_29</vt:lpstr>
      <vt:lpstr>PPA.22!ExternalData_29</vt:lpstr>
      <vt:lpstr>PPA.23!ExternalData_29</vt:lpstr>
      <vt:lpstr>PPA.3!ExternalData_29</vt:lpstr>
      <vt:lpstr>PPA.4!ExternalData_29</vt:lpstr>
      <vt:lpstr>PPA.5!ExternalData_29</vt:lpstr>
      <vt:lpstr>PPA.6!ExternalData_29</vt:lpstr>
      <vt:lpstr>PPA.7!ExternalData_29</vt:lpstr>
      <vt:lpstr>PPA.8!ExternalData_29</vt:lpstr>
      <vt:lpstr>PPA.9!ExternalData_29</vt:lpstr>
      <vt:lpstr>Cycle0.PPA!ExternalData_3</vt:lpstr>
      <vt:lpstr>MCO.PPA!ExternalData_3</vt:lpstr>
      <vt:lpstr>PickStage.PPA!ExternalData_3</vt:lpstr>
      <vt:lpstr>PPA.0!ExternalData_3</vt:lpstr>
      <vt:lpstr>PPA.1!ExternalData_3</vt:lpstr>
      <vt:lpstr>PPA.10!ExternalData_3</vt:lpstr>
      <vt:lpstr>PPA.11!ExternalData_3</vt:lpstr>
      <vt:lpstr>PPA.12!ExternalData_3</vt:lpstr>
      <vt:lpstr>PPA.13!ExternalData_3</vt:lpstr>
      <vt:lpstr>PPA.14!ExternalData_3</vt:lpstr>
      <vt:lpstr>PPA.15!ExternalData_3</vt:lpstr>
      <vt:lpstr>PPA.16!ExternalData_3</vt:lpstr>
      <vt:lpstr>PPA.17!ExternalData_3</vt:lpstr>
      <vt:lpstr>PPA.18!ExternalData_3</vt:lpstr>
      <vt:lpstr>PPA.19!ExternalData_3</vt:lpstr>
      <vt:lpstr>PPA.2!ExternalData_3</vt:lpstr>
      <vt:lpstr>PPA.20!ExternalData_3</vt:lpstr>
      <vt:lpstr>PPA.21!ExternalData_3</vt:lpstr>
      <vt:lpstr>PPA.22!ExternalData_3</vt:lpstr>
      <vt:lpstr>PPA.23!ExternalData_3</vt:lpstr>
      <vt:lpstr>PPA.3!ExternalData_3</vt:lpstr>
      <vt:lpstr>PPA.4!ExternalData_3</vt:lpstr>
      <vt:lpstr>PPA.5!ExternalData_3</vt:lpstr>
      <vt:lpstr>PPA.6!ExternalData_3</vt:lpstr>
      <vt:lpstr>PPA.7!ExternalData_3</vt:lpstr>
      <vt:lpstr>PPA.8!ExternalData_3</vt:lpstr>
      <vt:lpstr>PPA.9!ExternalData_3</vt:lpstr>
      <vt:lpstr>PPA.10!ExternalData_30</vt:lpstr>
      <vt:lpstr>PPA.11!ExternalData_30</vt:lpstr>
      <vt:lpstr>PPA.17!ExternalData_30</vt:lpstr>
      <vt:lpstr>PPA.18!ExternalData_30</vt:lpstr>
      <vt:lpstr>PPA.19!ExternalData_30</vt:lpstr>
      <vt:lpstr>PPA.2!ExternalData_30</vt:lpstr>
      <vt:lpstr>PPA.20!ExternalData_30</vt:lpstr>
      <vt:lpstr>PPA.21!ExternalData_30</vt:lpstr>
      <vt:lpstr>PPA.22!ExternalData_30</vt:lpstr>
      <vt:lpstr>PPA.23!ExternalData_30</vt:lpstr>
      <vt:lpstr>PPA.3!ExternalData_30</vt:lpstr>
      <vt:lpstr>PPA.4!ExternalData_30</vt:lpstr>
      <vt:lpstr>PPA.5!ExternalData_30</vt:lpstr>
      <vt:lpstr>PPA.6!ExternalData_30</vt:lpstr>
      <vt:lpstr>PPA.7!ExternalData_30</vt:lpstr>
      <vt:lpstr>PPA.8!ExternalData_30</vt:lpstr>
      <vt:lpstr>PPA.9!ExternalData_30</vt:lpstr>
      <vt:lpstr>PPA.10!ExternalData_31</vt:lpstr>
      <vt:lpstr>PPA.11!ExternalData_31</vt:lpstr>
      <vt:lpstr>PPA.17!ExternalData_31</vt:lpstr>
      <vt:lpstr>PPA.18!ExternalData_31</vt:lpstr>
      <vt:lpstr>PPA.19!ExternalData_31</vt:lpstr>
      <vt:lpstr>PPA.2!ExternalData_31</vt:lpstr>
      <vt:lpstr>PPA.20!ExternalData_31</vt:lpstr>
      <vt:lpstr>PPA.21!ExternalData_31</vt:lpstr>
      <vt:lpstr>PPA.22!ExternalData_31</vt:lpstr>
      <vt:lpstr>PPA.3!ExternalData_31</vt:lpstr>
      <vt:lpstr>PPA.4!ExternalData_31</vt:lpstr>
      <vt:lpstr>PPA.5!ExternalData_31</vt:lpstr>
      <vt:lpstr>PPA.6!ExternalData_31</vt:lpstr>
      <vt:lpstr>PPA.7!ExternalData_31</vt:lpstr>
      <vt:lpstr>PPA.8!ExternalData_31</vt:lpstr>
      <vt:lpstr>PPA.9!ExternalData_31</vt:lpstr>
      <vt:lpstr>PPA.10!ExternalData_32</vt:lpstr>
      <vt:lpstr>PPA.17!ExternalData_32</vt:lpstr>
      <vt:lpstr>PPA.18!ExternalData_32</vt:lpstr>
      <vt:lpstr>PPA.19!ExternalData_32</vt:lpstr>
      <vt:lpstr>PPA.2!ExternalData_32</vt:lpstr>
      <vt:lpstr>PPA.20!ExternalData_32</vt:lpstr>
      <vt:lpstr>PPA.21!ExternalData_32</vt:lpstr>
      <vt:lpstr>PPA.22!ExternalData_32</vt:lpstr>
      <vt:lpstr>PPA.3!ExternalData_32</vt:lpstr>
      <vt:lpstr>PPA.4!ExternalData_32</vt:lpstr>
      <vt:lpstr>PPA.6!ExternalData_32</vt:lpstr>
      <vt:lpstr>PPA.7!ExternalData_32</vt:lpstr>
      <vt:lpstr>PPA.8!ExternalData_32</vt:lpstr>
      <vt:lpstr>PPA.9!ExternalData_32</vt:lpstr>
      <vt:lpstr>PPA.10!ExternalData_33</vt:lpstr>
      <vt:lpstr>PPA.17!ExternalData_33</vt:lpstr>
      <vt:lpstr>PPA.18!ExternalData_33</vt:lpstr>
      <vt:lpstr>PPA.19!ExternalData_33</vt:lpstr>
      <vt:lpstr>PPA.2!ExternalData_33</vt:lpstr>
      <vt:lpstr>PPA.20!ExternalData_33</vt:lpstr>
      <vt:lpstr>PPA.21!ExternalData_33</vt:lpstr>
      <vt:lpstr>PPA.3!ExternalData_33</vt:lpstr>
      <vt:lpstr>PPA.4!ExternalData_33</vt:lpstr>
      <vt:lpstr>PPA.6!ExternalData_33</vt:lpstr>
      <vt:lpstr>PPA.7!ExternalData_33</vt:lpstr>
      <vt:lpstr>PPA.8!ExternalData_33</vt:lpstr>
      <vt:lpstr>PPA.9!ExternalData_33</vt:lpstr>
      <vt:lpstr>PPA.10!ExternalData_34</vt:lpstr>
      <vt:lpstr>PPA.17!ExternalData_34</vt:lpstr>
      <vt:lpstr>PPA.18!ExternalData_34</vt:lpstr>
      <vt:lpstr>PPA.19!ExternalData_34</vt:lpstr>
      <vt:lpstr>PPA.2!ExternalData_34</vt:lpstr>
      <vt:lpstr>PPA.20!ExternalData_34</vt:lpstr>
      <vt:lpstr>PPA.21!ExternalData_34</vt:lpstr>
      <vt:lpstr>PPA.3!ExternalData_34</vt:lpstr>
      <vt:lpstr>PPA.4!ExternalData_34</vt:lpstr>
      <vt:lpstr>PPA.6!ExternalData_34</vt:lpstr>
      <vt:lpstr>PPA.7!ExternalData_34</vt:lpstr>
      <vt:lpstr>PPA.8!ExternalData_34</vt:lpstr>
      <vt:lpstr>PPA.9!ExternalData_34</vt:lpstr>
      <vt:lpstr>PPA.10!ExternalData_35</vt:lpstr>
      <vt:lpstr>PPA.17!ExternalData_35</vt:lpstr>
      <vt:lpstr>PPA.18!ExternalData_35</vt:lpstr>
      <vt:lpstr>PPA.19!ExternalData_35</vt:lpstr>
      <vt:lpstr>PPA.2!ExternalData_35</vt:lpstr>
      <vt:lpstr>PPA.20!ExternalData_35</vt:lpstr>
      <vt:lpstr>PPA.21!ExternalData_35</vt:lpstr>
      <vt:lpstr>PPA.4!ExternalData_35</vt:lpstr>
      <vt:lpstr>PPA.6!ExternalData_35</vt:lpstr>
      <vt:lpstr>PPA.7!ExternalData_35</vt:lpstr>
      <vt:lpstr>PPA.8!ExternalData_35</vt:lpstr>
      <vt:lpstr>PPA.9!ExternalData_35</vt:lpstr>
      <vt:lpstr>PPA.17!ExternalData_36</vt:lpstr>
      <vt:lpstr>PPA.18!ExternalData_36</vt:lpstr>
      <vt:lpstr>PPA.19!ExternalData_36</vt:lpstr>
      <vt:lpstr>PPA.2!ExternalData_36</vt:lpstr>
      <vt:lpstr>PPA.20!ExternalData_36</vt:lpstr>
      <vt:lpstr>PPA.21!ExternalData_36</vt:lpstr>
      <vt:lpstr>PPA.4!ExternalData_36</vt:lpstr>
      <vt:lpstr>PPA.6!ExternalData_36</vt:lpstr>
      <vt:lpstr>PPA.7!ExternalData_36</vt:lpstr>
      <vt:lpstr>PPA.8!ExternalData_36</vt:lpstr>
      <vt:lpstr>PPA.17!ExternalData_37</vt:lpstr>
      <vt:lpstr>PPA.18!ExternalData_37</vt:lpstr>
      <vt:lpstr>PPA.19!ExternalData_37</vt:lpstr>
      <vt:lpstr>PPA.20!ExternalData_37</vt:lpstr>
      <vt:lpstr>PPA.21!ExternalData_37</vt:lpstr>
      <vt:lpstr>PPA.4!ExternalData_37</vt:lpstr>
      <vt:lpstr>PPA.6!ExternalData_37</vt:lpstr>
      <vt:lpstr>PPA.7!ExternalData_37</vt:lpstr>
      <vt:lpstr>PPA.8!ExternalData_37</vt:lpstr>
      <vt:lpstr>PPA.17!ExternalData_38</vt:lpstr>
      <vt:lpstr>PPA.18!ExternalData_38</vt:lpstr>
      <vt:lpstr>PPA.19!ExternalData_38</vt:lpstr>
      <vt:lpstr>PPA.20!ExternalData_38</vt:lpstr>
      <vt:lpstr>PPA.21!ExternalData_38</vt:lpstr>
      <vt:lpstr>PPA.4!ExternalData_38</vt:lpstr>
      <vt:lpstr>PPA.6!ExternalData_38</vt:lpstr>
      <vt:lpstr>PPA.7!ExternalData_38</vt:lpstr>
      <vt:lpstr>PPA.8!ExternalData_38</vt:lpstr>
      <vt:lpstr>PPA.17!ExternalData_39</vt:lpstr>
      <vt:lpstr>PPA.18!ExternalData_39</vt:lpstr>
      <vt:lpstr>PPA.19!ExternalData_39</vt:lpstr>
      <vt:lpstr>PPA.20!ExternalData_39</vt:lpstr>
      <vt:lpstr>PPA.21!ExternalData_39</vt:lpstr>
      <vt:lpstr>PPA.4!ExternalData_39</vt:lpstr>
      <vt:lpstr>PPA.6!ExternalData_39</vt:lpstr>
      <vt:lpstr>PPA.7!ExternalData_39</vt:lpstr>
      <vt:lpstr>PPA.8!ExternalData_39</vt:lpstr>
      <vt:lpstr>Cycle0.PPA!ExternalData_4</vt:lpstr>
      <vt:lpstr>MCO.PPA!ExternalData_4</vt:lpstr>
      <vt:lpstr>PickStage.PPA!ExternalData_4</vt:lpstr>
      <vt:lpstr>PPA.0!ExternalData_4</vt:lpstr>
      <vt:lpstr>PPA.1!ExternalData_4</vt:lpstr>
      <vt:lpstr>PPA.10!ExternalData_4</vt:lpstr>
      <vt:lpstr>PPA.11!ExternalData_4</vt:lpstr>
      <vt:lpstr>PPA.12!ExternalData_4</vt:lpstr>
      <vt:lpstr>PPA.13!ExternalData_4</vt:lpstr>
      <vt:lpstr>PPA.14!ExternalData_4</vt:lpstr>
      <vt:lpstr>PPA.15!ExternalData_4</vt:lpstr>
      <vt:lpstr>PPA.16!ExternalData_4</vt:lpstr>
      <vt:lpstr>PPA.17!ExternalData_4</vt:lpstr>
      <vt:lpstr>PPA.18!ExternalData_4</vt:lpstr>
      <vt:lpstr>PPA.19!ExternalData_4</vt:lpstr>
      <vt:lpstr>PPA.2!ExternalData_4</vt:lpstr>
      <vt:lpstr>PPA.20!ExternalData_4</vt:lpstr>
      <vt:lpstr>PPA.21!ExternalData_4</vt:lpstr>
      <vt:lpstr>PPA.22!ExternalData_4</vt:lpstr>
      <vt:lpstr>PPA.23!ExternalData_4</vt:lpstr>
      <vt:lpstr>PPA.3!ExternalData_4</vt:lpstr>
      <vt:lpstr>PPA.4!ExternalData_4</vt:lpstr>
      <vt:lpstr>PPA.5!ExternalData_4</vt:lpstr>
      <vt:lpstr>PPA.6!ExternalData_4</vt:lpstr>
      <vt:lpstr>PPA.7!ExternalData_4</vt:lpstr>
      <vt:lpstr>PPA.8!ExternalData_4</vt:lpstr>
      <vt:lpstr>PPA.9!ExternalData_4</vt:lpstr>
      <vt:lpstr>PPA.17!ExternalData_40</vt:lpstr>
      <vt:lpstr>PPA.18!ExternalData_40</vt:lpstr>
      <vt:lpstr>PPA.20!ExternalData_40</vt:lpstr>
      <vt:lpstr>PPA.21!ExternalData_40</vt:lpstr>
      <vt:lpstr>PPA.4!ExternalData_40</vt:lpstr>
      <vt:lpstr>PPA.6!ExternalData_40</vt:lpstr>
      <vt:lpstr>PPA.7!ExternalData_40</vt:lpstr>
      <vt:lpstr>PPA.8!ExternalData_40</vt:lpstr>
      <vt:lpstr>PPA.17!ExternalData_41</vt:lpstr>
      <vt:lpstr>PPA.18!ExternalData_41</vt:lpstr>
      <vt:lpstr>PPA.20!ExternalData_41</vt:lpstr>
      <vt:lpstr>PPA.4!ExternalData_41</vt:lpstr>
      <vt:lpstr>PPA.6!ExternalData_41</vt:lpstr>
      <vt:lpstr>PPA.7!ExternalData_41</vt:lpstr>
      <vt:lpstr>PPA.8!ExternalData_41</vt:lpstr>
      <vt:lpstr>PPA.17!ExternalData_42</vt:lpstr>
      <vt:lpstr>PPA.18!ExternalData_42</vt:lpstr>
      <vt:lpstr>PPA.20!ExternalData_42</vt:lpstr>
      <vt:lpstr>PPA.4!ExternalData_42</vt:lpstr>
      <vt:lpstr>PPA.6!ExternalData_42</vt:lpstr>
      <vt:lpstr>PPA.7!ExternalData_42</vt:lpstr>
      <vt:lpstr>PPA.8!ExternalData_42</vt:lpstr>
      <vt:lpstr>PPA.17!ExternalData_43</vt:lpstr>
      <vt:lpstr>PPA.18!ExternalData_43</vt:lpstr>
      <vt:lpstr>PPA.20!ExternalData_43</vt:lpstr>
      <vt:lpstr>PPA.4!ExternalData_43</vt:lpstr>
      <vt:lpstr>PPA.6!ExternalData_43</vt:lpstr>
      <vt:lpstr>PPA.7!ExternalData_43</vt:lpstr>
      <vt:lpstr>PPA.8!ExternalData_43</vt:lpstr>
      <vt:lpstr>PPA.17!ExternalData_44</vt:lpstr>
      <vt:lpstr>PPA.18!ExternalData_44</vt:lpstr>
      <vt:lpstr>PPA.20!ExternalData_44</vt:lpstr>
      <vt:lpstr>PPA.6!ExternalData_44</vt:lpstr>
      <vt:lpstr>PPA.7!ExternalData_44</vt:lpstr>
      <vt:lpstr>PPA.8!ExternalData_44</vt:lpstr>
      <vt:lpstr>PPA.17!ExternalData_45</vt:lpstr>
      <vt:lpstr>PPA.18!ExternalData_45</vt:lpstr>
      <vt:lpstr>PPA.20!ExternalData_45</vt:lpstr>
      <vt:lpstr>PPA.6!ExternalData_45</vt:lpstr>
      <vt:lpstr>PPA.7!ExternalData_45</vt:lpstr>
      <vt:lpstr>PPA.8!ExternalData_45</vt:lpstr>
      <vt:lpstr>PPA.17!ExternalData_46</vt:lpstr>
      <vt:lpstr>PPA.18!ExternalData_46</vt:lpstr>
      <vt:lpstr>PPA.20!ExternalData_46</vt:lpstr>
      <vt:lpstr>PPA.6!ExternalData_46</vt:lpstr>
      <vt:lpstr>PPA.7!ExternalData_46</vt:lpstr>
      <vt:lpstr>PPA.8!ExternalData_46</vt:lpstr>
      <vt:lpstr>PPA.17!ExternalData_47</vt:lpstr>
      <vt:lpstr>PPA.18!ExternalData_47</vt:lpstr>
      <vt:lpstr>PPA.20!ExternalData_47</vt:lpstr>
      <vt:lpstr>PPA.6!ExternalData_47</vt:lpstr>
      <vt:lpstr>PPA.8!ExternalData_47</vt:lpstr>
      <vt:lpstr>PPA.17!ExternalData_48</vt:lpstr>
      <vt:lpstr>PPA.18!ExternalData_48</vt:lpstr>
      <vt:lpstr>PPA.20!ExternalData_48</vt:lpstr>
      <vt:lpstr>PPA.6!ExternalData_48</vt:lpstr>
      <vt:lpstr>PPA.8!ExternalData_48</vt:lpstr>
      <vt:lpstr>PPA.17!ExternalData_49</vt:lpstr>
      <vt:lpstr>PPA.18!ExternalData_49</vt:lpstr>
      <vt:lpstr>PPA.20!ExternalData_49</vt:lpstr>
      <vt:lpstr>PPA.6!ExternalData_49</vt:lpstr>
      <vt:lpstr>PPA.8!ExternalData_49</vt:lpstr>
      <vt:lpstr>MCO.PPA!ExternalData_5</vt:lpstr>
      <vt:lpstr>PickStage.PPA!ExternalData_5</vt:lpstr>
      <vt:lpstr>PPA.0!ExternalData_5</vt:lpstr>
      <vt:lpstr>PPA.1!ExternalData_5</vt:lpstr>
      <vt:lpstr>PPA.10!ExternalData_5</vt:lpstr>
      <vt:lpstr>PPA.11!ExternalData_5</vt:lpstr>
      <vt:lpstr>PPA.12!ExternalData_5</vt:lpstr>
      <vt:lpstr>PPA.13!ExternalData_5</vt:lpstr>
      <vt:lpstr>PPA.16!ExternalData_5</vt:lpstr>
      <vt:lpstr>PPA.17!ExternalData_5</vt:lpstr>
      <vt:lpstr>PPA.18!ExternalData_5</vt:lpstr>
      <vt:lpstr>PPA.19!ExternalData_5</vt:lpstr>
      <vt:lpstr>PPA.2!ExternalData_5</vt:lpstr>
      <vt:lpstr>PPA.20!ExternalData_5</vt:lpstr>
      <vt:lpstr>PPA.21!ExternalData_5</vt:lpstr>
      <vt:lpstr>PPA.22!ExternalData_5</vt:lpstr>
      <vt:lpstr>PPA.23!ExternalData_5</vt:lpstr>
      <vt:lpstr>PPA.3!ExternalData_5</vt:lpstr>
      <vt:lpstr>PPA.4!ExternalData_5</vt:lpstr>
      <vt:lpstr>PPA.5!ExternalData_5</vt:lpstr>
      <vt:lpstr>PPA.6!ExternalData_5</vt:lpstr>
      <vt:lpstr>PPA.7!ExternalData_5</vt:lpstr>
      <vt:lpstr>PPA.8!ExternalData_5</vt:lpstr>
      <vt:lpstr>PPA.9!ExternalData_5</vt:lpstr>
      <vt:lpstr>PPA.17!ExternalData_50</vt:lpstr>
      <vt:lpstr>PPA.18!ExternalData_50</vt:lpstr>
      <vt:lpstr>PPA.20!ExternalData_50</vt:lpstr>
      <vt:lpstr>PPA.6!ExternalData_50</vt:lpstr>
      <vt:lpstr>PPA.8!ExternalData_50</vt:lpstr>
      <vt:lpstr>PPA.17!ExternalData_51</vt:lpstr>
      <vt:lpstr>PPA.18!ExternalData_51</vt:lpstr>
      <vt:lpstr>PPA.6!ExternalData_51</vt:lpstr>
      <vt:lpstr>PPA.8!ExternalData_51</vt:lpstr>
      <vt:lpstr>PPA.18!ExternalData_52</vt:lpstr>
      <vt:lpstr>PPA.6!ExternalData_52</vt:lpstr>
      <vt:lpstr>PPA.8!ExternalData_52</vt:lpstr>
      <vt:lpstr>PPA.18!ExternalData_53</vt:lpstr>
      <vt:lpstr>PPA.8!ExternalData_53</vt:lpstr>
      <vt:lpstr>PPA.8!ExternalData_54</vt:lpstr>
      <vt:lpstr>MCO.PPA!ExternalData_6</vt:lpstr>
      <vt:lpstr>PickStage.PPA!ExternalData_6</vt:lpstr>
      <vt:lpstr>PPA.0!ExternalData_6</vt:lpstr>
      <vt:lpstr>PPA.1!ExternalData_6</vt:lpstr>
      <vt:lpstr>PPA.10!ExternalData_6</vt:lpstr>
      <vt:lpstr>PPA.11!ExternalData_6</vt:lpstr>
      <vt:lpstr>PPA.12!ExternalData_6</vt:lpstr>
      <vt:lpstr>PPA.13!ExternalData_6</vt:lpstr>
      <vt:lpstr>PPA.16!ExternalData_6</vt:lpstr>
      <vt:lpstr>PPA.17!ExternalData_6</vt:lpstr>
      <vt:lpstr>PPA.18!ExternalData_6</vt:lpstr>
      <vt:lpstr>PPA.19!ExternalData_6</vt:lpstr>
      <vt:lpstr>PPA.2!ExternalData_6</vt:lpstr>
      <vt:lpstr>PPA.20!ExternalData_6</vt:lpstr>
      <vt:lpstr>PPA.21!ExternalData_6</vt:lpstr>
      <vt:lpstr>PPA.22!ExternalData_6</vt:lpstr>
      <vt:lpstr>PPA.23!ExternalData_6</vt:lpstr>
      <vt:lpstr>PPA.3!ExternalData_6</vt:lpstr>
      <vt:lpstr>PPA.4!ExternalData_6</vt:lpstr>
      <vt:lpstr>PPA.5!ExternalData_6</vt:lpstr>
      <vt:lpstr>PPA.6!ExternalData_6</vt:lpstr>
      <vt:lpstr>PPA.7!ExternalData_6</vt:lpstr>
      <vt:lpstr>PPA.8!ExternalData_6</vt:lpstr>
      <vt:lpstr>PPA.9!ExternalData_6</vt:lpstr>
      <vt:lpstr>MCO.PPA!ExternalData_7</vt:lpstr>
      <vt:lpstr>PickStage.PPA!ExternalData_7</vt:lpstr>
      <vt:lpstr>PPA.0!ExternalData_7</vt:lpstr>
      <vt:lpstr>PPA.1!ExternalData_7</vt:lpstr>
      <vt:lpstr>PPA.10!ExternalData_7</vt:lpstr>
      <vt:lpstr>PPA.11!ExternalData_7</vt:lpstr>
      <vt:lpstr>PPA.12!ExternalData_7</vt:lpstr>
      <vt:lpstr>PPA.13!ExternalData_7</vt:lpstr>
      <vt:lpstr>PPA.16!ExternalData_7</vt:lpstr>
      <vt:lpstr>PPA.17!ExternalData_7</vt:lpstr>
      <vt:lpstr>PPA.18!ExternalData_7</vt:lpstr>
      <vt:lpstr>PPA.19!ExternalData_7</vt:lpstr>
      <vt:lpstr>PPA.2!ExternalData_7</vt:lpstr>
      <vt:lpstr>PPA.20!ExternalData_7</vt:lpstr>
      <vt:lpstr>PPA.21!ExternalData_7</vt:lpstr>
      <vt:lpstr>PPA.22!ExternalData_7</vt:lpstr>
      <vt:lpstr>PPA.23!ExternalData_7</vt:lpstr>
      <vt:lpstr>PPA.3!ExternalData_7</vt:lpstr>
      <vt:lpstr>PPA.4!ExternalData_7</vt:lpstr>
      <vt:lpstr>PPA.5!ExternalData_7</vt:lpstr>
      <vt:lpstr>PPA.6!ExternalData_7</vt:lpstr>
      <vt:lpstr>PPA.7!ExternalData_7</vt:lpstr>
      <vt:lpstr>PPA.8!ExternalData_7</vt:lpstr>
      <vt:lpstr>PPA.9!ExternalData_7</vt:lpstr>
      <vt:lpstr>MCO.PPA!ExternalData_8</vt:lpstr>
      <vt:lpstr>PickStage.PPA!ExternalData_8</vt:lpstr>
      <vt:lpstr>PPA.0!ExternalData_8</vt:lpstr>
      <vt:lpstr>PPA.1!ExternalData_8</vt:lpstr>
      <vt:lpstr>PPA.10!ExternalData_8</vt:lpstr>
      <vt:lpstr>PPA.11!ExternalData_8</vt:lpstr>
      <vt:lpstr>PPA.12!ExternalData_8</vt:lpstr>
      <vt:lpstr>PPA.16!ExternalData_8</vt:lpstr>
      <vt:lpstr>PPA.17!ExternalData_8</vt:lpstr>
      <vt:lpstr>PPA.18!ExternalData_8</vt:lpstr>
      <vt:lpstr>PPA.19!ExternalData_8</vt:lpstr>
      <vt:lpstr>PPA.2!ExternalData_8</vt:lpstr>
      <vt:lpstr>PPA.20!ExternalData_8</vt:lpstr>
      <vt:lpstr>PPA.21!ExternalData_8</vt:lpstr>
      <vt:lpstr>PPA.22!ExternalData_8</vt:lpstr>
      <vt:lpstr>PPA.23!ExternalData_8</vt:lpstr>
      <vt:lpstr>PPA.3!ExternalData_8</vt:lpstr>
      <vt:lpstr>PPA.4!ExternalData_8</vt:lpstr>
      <vt:lpstr>PPA.5!ExternalData_8</vt:lpstr>
      <vt:lpstr>PPA.6!ExternalData_8</vt:lpstr>
      <vt:lpstr>PPA.7!ExternalData_8</vt:lpstr>
      <vt:lpstr>PPA.8!ExternalData_8</vt:lpstr>
      <vt:lpstr>PPA.9!ExternalData_8</vt:lpstr>
      <vt:lpstr>MCO.PPA!ExternalData_9</vt:lpstr>
      <vt:lpstr>PickStage.PPA!ExternalData_9</vt:lpstr>
      <vt:lpstr>PPA.0!ExternalData_9</vt:lpstr>
      <vt:lpstr>PPA.1!ExternalData_9</vt:lpstr>
      <vt:lpstr>PPA.10!ExternalData_9</vt:lpstr>
      <vt:lpstr>PPA.11!ExternalData_9</vt:lpstr>
      <vt:lpstr>PPA.12!ExternalData_9</vt:lpstr>
      <vt:lpstr>PPA.16!ExternalData_9</vt:lpstr>
      <vt:lpstr>PPA.17!ExternalData_9</vt:lpstr>
      <vt:lpstr>PPA.18!ExternalData_9</vt:lpstr>
      <vt:lpstr>PPA.19!ExternalData_9</vt:lpstr>
      <vt:lpstr>PPA.2!ExternalData_9</vt:lpstr>
      <vt:lpstr>PPA.20!ExternalData_9</vt:lpstr>
      <vt:lpstr>PPA.21!ExternalData_9</vt:lpstr>
      <vt:lpstr>PPA.22!ExternalData_9</vt:lpstr>
      <vt:lpstr>PPA.23!ExternalData_9</vt:lpstr>
      <vt:lpstr>PPA.3!ExternalData_9</vt:lpstr>
      <vt:lpstr>PPA.4!ExternalData_9</vt:lpstr>
      <vt:lpstr>PPA.5!ExternalData_9</vt:lpstr>
      <vt:lpstr>PPA.6!ExternalData_9</vt:lpstr>
      <vt:lpstr>PPA.7!ExternalData_9</vt:lpstr>
      <vt:lpstr>PPA.8!ExternalData_9</vt:lpstr>
      <vt:lpstr>PPA.9!ExternalData_9</vt:lpstr>
      <vt:lpstr>'24Hour'!Hourly</vt:lpstr>
      <vt:lpstr>'Pick and Stage Execution'!Hourly</vt:lpstr>
      <vt:lpstr>'Sort 0 Execution'!Hourly</vt:lpstr>
      <vt:lpstr>'Sort 1 Execution'!Hourly</vt:lpstr>
      <vt:lpstr>'Sort 1 Execution'!HourlyEmail</vt:lpstr>
      <vt:lpstr>'Sort 1 Execution'!HourlySubject</vt:lpstr>
      <vt:lpstr>MCO_FPH</vt:lpstr>
      <vt:lpstr>MCO_Hourly_UPLOAD_DATA</vt:lpstr>
      <vt:lpstr>MCO_TOTALHOURS</vt:lpstr>
      <vt:lpstr>MCOHourly</vt:lpstr>
      <vt:lpstr>MCOHourlyEmail</vt:lpstr>
      <vt:lpstr>MCOHourlySubject</vt:lpstr>
      <vt:lpstr>MCORange</vt:lpstr>
      <vt:lpstr>pfsdEnd</vt:lpstr>
      <vt:lpstr>PFSDRange</vt:lpstr>
      <vt:lpstr>pfsdStart</vt:lpstr>
      <vt:lpstr>Pick_and_Stage_Execution_FPH</vt:lpstr>
      <vt:lpstr>Pick_and_Stage_Execution_TOTALHOURS</vt:lpstr>
      <vt:lpstr>Pick_and_Stage_Execution_UPLOAD_DATA</vt:lpstr>
      <vt:lpstr>PickStageEnd</vt:lpstr>
      <vt:lpstr>PickStageRange</vt:lpstr>
      <vt:lpstr>PickStageStart</vt:lpstr>
      <vt:lpstr>Sort_0_Execution_FPH</vt:lpstr>
      <vt:lpstr>Sort_0_Execution_TOTALHOURS</vt:lpstr>
      <vt:lpstr>Sort_0_Execution_UPLOAD_DATA</vt:lpstr>
      <vt:lpstr>Sort_1_Execution_FPH</vt:lpstr>
      <vt:lpstr>Sort_1_Execution_TOTALHOURS</vt:lpstr>
      <vt:lpstr>Sort_1_Execution_UPLOAD_DATA</vt:lpstr>
      <vt:lpstr>sortBEnd</vt:lpstr>
      <vt:lpstr>sortBStart</vt:lpstr>
      <vt:lpstr>'24Hour'!StartDate</vt:lpstr>
      <vt:lpstr>'MCO Hourly'!StartDate</vt:lpstr>
      <vt:lpstr>'Pick and Stage Execution'!StartDate</vt:lpstr>
      <vt:lpstr>'Sort 0 Execution'!StartDate</vt:lpstr>
      <vt:lpstr>'Sort 1 Execution'!StartDate</vt:lpstr>
      <vt:lpstr>'24Hour'!StartTime</vt:lpstr>
      <vt:lpstr>'MCO Hourly'!StartTime</vt:lpstr>
      <vt:lpstr>'Sort 0 Execution'!StartTime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Gammell, Tyler</dc:creator>
  <cp:lastModifiedBy>Cofer, Nicholas</cp:lastModifiedBy>
  <dcterms:created xsi:type="dcterms:W3CDTF">2020-03-07T00:52:36Z</dcterms:created>
  <dcterms:modified xsi:type="dcterms:W3CDTF">2020-09-24T17:21:22Z</dcterms:modified>
</cp:coreProperties>
</file>